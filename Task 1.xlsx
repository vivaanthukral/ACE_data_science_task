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aan thukral\Downloads\"/>
    </mc:Choice>
  </mc:AlternateContent>
  <xr:revisionPtr revIDLastSave="0" documentId="13_ncr:1_{EF177A1F-603A-41D1-B11E-8D0C9EA17D53}" xr6:coauthVersionLast="47" xr6:coauthVersionMax="47" xr10:uidLastSave="{00000000-0000-0000-0000-000000000000}"/>
  <bookViews>
    <workbookView xWindow="0" yWindow="360" windowWidth="23256" windowHeight="12456" activeTab="4" xr2:uid="{00000000-000D-0000-FFFF-FFFF00000000}"/>
  </bookViews>
  <sheets>
    <sheet name="Sheet1" sheetId="3" r:id="rId1"/>
    <sheet name="Sheet3" sheetId="5" r:id="rId2"/>
    <sheet name="Pivot Table 1" sheetId="2" r:id="rId3"/>
    <sheet name="Social Media Analytics" sheetId="1" r:id="rId4"/>
    <sheet name="Summary" sheetId="6" r:id="rId5"/>
  </sheets>
  <definedNames>
    <definedName name="_xlnm._FilterDatabase" localSheetId="3" hidden="1">'Social Media Analytics'!$A$1:$K$1001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wzGZ/5yUhyaRVnQZ5xC+hNnZHu2X8lifBIZJJtBHkY="/>
    </ext>
  </extLst>
</workbook>
</file>

<file path=xl/calcChain.xml><?xml version="1.0" encoding="utf-8"?>
<calcChain xmlns="http://schemas.openxmlformats.org/spreadsheetml/2006/main">
  <c r="N9" i="6" l="1"/>
  <c r="N8" i="6"/>
  <c r="N7" i="6"/>
  <c r="N6" i="6"/>
  <c r="N5" i="6"/>
  <c r="M9" i="6"/>
  <c r="M8" i="6"/>
  <c r="M7" i="6"/>
  <c r="M6" i="6"/>
  <c r="M5" i="6"/>
  <c r="L9" i="6"/>
  <c r="L8" i="6"/>
  <c r="L7" i="6"/>
  <c r="L6" i="6"/>
  <c r="L5" i="6"/>
  <c r="K9" i="6"/>
  <c r="K8" i="6"/>
  <c r="K7" i="6"/>
  <c r="K6" i="6"/>
  <c r="K5" i="6"/>
  <c r="H9" i="6"/>
  <c r="H8" i="6"/>
  <c r="H7" i="6"/>
  <c r="H6" i="6"/>
  <c r="H5" i="6"/>
  <c r="G9" i="6"/>
  <c r="G8" i="6"/>
  <c r="G7" i="6"/>
  <c r="G6" i="6"/>
  <c r="G5" i="6"/>
  <c r="F9" i="6"/>
  <c r="F8" i="6"/>
  <c r="F7" i="6"/>
  <c r="F6" i="6"/>
  <c r="F5" i="6"/>
  <c r="E9" i="6"/>
  <c r="E8" i="6"/>
  <c r="E7" i="6"/>
  <c r="E6" i="6"/>
  <c r="E5" i="6"/>
  <c r="B13" i="6"/>
  <c r="B12" i="6"/>
  <c r="B11" i="6"/>
  <c r="B10" i="6"/>
  <c r="B9" i="6"/>
  <c r="B8" i="6"/>
  <c r="B7" i="6"/>
  <c r="B6" i="6"/>
  <c r="B5" i="6"/>
  <c r="B4" i="6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O6" i="1"/>
  <c r="N6" i="1"/>
  <c r="L6" i="1"/>
  <c r="O5" i="1"/>
  <c r="N5" i="1"/>
  <c r="L5" i="1"/>
  <c r="O4" i="1"/>
  <c r="N4" i="1"/>
  <c r="L4" i="1"/>
  <c r="O3" i="1"/>
  <c r="N3" i="1"/>
  <c r="L3" i="1"/>
  <c r="O2" i="1"/>
  <c r="N2" i="1"/>
  <c r="L2" i="1"/>
  <c r="B15" i="6" l="1"/>
  <c r="B14" i="6"/>
  <c r="N8" i="1" a="1"/>
  <c r="N8" i="1" s="1"/>
</calcChain>
</file>

<file path=xl/sharedStrings.xml><?xml version="1.0" encoding="utf-8"?>
<sst xmlns="http://schemas.openxmlformats.org/spreadsheetml/2006/main" count="3087" uniqueCount="1051">
  <si>
    <t>Post ID</t>
  </si>
  <si>
    <t>Platform</t>
  </si>
  <si>
    <t>Post Date</t>
  </si>
  <si>
    <t>Content Type</t>
  </si>
  <si>
    <t>Impressions</t>
  </si>
  <si>
    <t>Reach</t>
  </si>
  <si>
    <t>Likes</t>
  </si>
  <si>
    <t>Comments</t>
  </si>
  <si>
    <t>Shares</t>
  </si>
  <si>
    <t>Engagement Rate %</t>
  </si>
  <si>
    <t>Engagement Rate</t>
  </si>
  <si>
    <t>Total Shares</t>
  </si>
  <si>
    <t>POST-60001</t>
  </si>
  <si>
    <t>Facebook</t>
  </si>
  <si>
    <t>Text</t>
  </si>
  <si>
    <t>POST-60002</t>
  </si>
  <si>
    <t>Instagram</t>
  </si>
  <si>
    <t>Image</t>
  </si>
  <si>
    <t>POST-60003</t>
  </si>
  <si>
    <t>Twitter</t>
  </si>
  <si>
    <t>Video</t>
  </si>
  <si>
    <t>POST-60004</t>
  </si>
  <si>
    <t>TikTok</t>
  </si>
  <si>
    <t>Reel</t>
  </si>
  <si>
    <t>POST-60005</t>
  </si>
  <si>
    <t>Carousel</t>
  </si>
  <si>
    <t>POST-60006</t>
  </si>
  <si>
    <t>POST-60007</t>
  </si>
  <si>
    <t>winner</t>
  </si>
  <si>
    <t>POST-60008</t>
  </si>
  <si>
    <t>LinkedIn</t>
  </si>
  <si>
    <t>POST-60009</t>
  </si>
  <si>
    <t>POST-60010</t>
  </si>
  <si>
    <t>POST-60011</t>
  </si>
  <si>
    <t>POST-60012</t>
  </si>
  <si>
    <t>POST-60013</t>
  </si>
  <si>
    <t>POST-60014</t>
  </si>
  <si>
    <t>POST-60015</t>
  </si>
  <si>
    <t>POST-60016</t>
  </si>
  <si>
    <t>POST-60017</t>
  </si>
  <si>
    <t>POST-60018</t>
  </si>
  <si>
    <t>POST-60019</t>
  </si>
  <si>
    <t>POST-60020</t>
  </si>
  <si>
    <t>POST-60021</t>
  </si>
  <si>
    <t>POST-60022</t>
  </si>
  <si>
    <t>POST-60023</t>
  </si>
  <si>
    <t>POST-60024</t>
  </si>
  <si>
    <t>POST-60025</t>
  </si>
  <si>
    <t>POST-60026</t>
  </si>
  <si>
    <t>POST-60027</t>
  </si>
  <si>
    <t>POST-60028</t>
  </si>
  <si>
    <t>POST-60029</t>
  </si>
  <si>
    <t>POST-60030</t>
  </si>
  <si>
    <t>POST-60031</t>
  </si>
  <si>
    <t>POST-60032</t>
  </si>
  <si>
    <t>POST-60033</t>
  </si>
  <si>
    <t>POST-60034</t>
  </si>
  <si>
    <t>POST-60035</t>
  </si>
  <si>
    <t>POST-60036</t>
  </si>
  <si>
    <t>POST-60037</t>
  </si>
  <si>
    <t>POST-60038</t>
  </si>
  <si>
    <t>POST-60039</t>
  </si>
  <si>
    <t>POST-60040</t>
  </si>
  <si>
    <t>POST-60041</t>
  </si>
  <si>
    <t>POST-60042</t>
  </si>
  <si>
    <t>POST-60043</t>
  </si>
  <si>
    <t>POST-60044</t>
  </si>
  <si>
    <t>POST-60045</t>
  </si>
  <si>
    <t>POST-60046</t>
  </si>
  <si>
    <t>POST-60047</t>
  </si>
  <si>
    <t>POST-60048</t>
  </si>
  <si>
    <t>POST-60049</t>
  </si>
  <si>
    <t>POST-60050</t>
  </si>
  <si>
    <t>POST-60051</t>
  </si>
  <si>
    <t>POST-60052</t>
  </si>
  <si>
    <t>POST-60053</t>
  </si>
  <si>
    <t>SUM of Impressions</t>
  </si>
  <si>
    <t>SUM of Likes</t>
  </si>
  <si>
    <t>POST-60054</t>
  </si>
  <si>
    <t>POST-60055</t>
  </si>
  <si>
    <t>POST-60056</t>
  </si>
  <si>
    <t>Grand Total</t>
  </si>
  <si>
    <t>POST-60057</t>
  </si>
  <si>
    <t>POST-60058</t>
  </si>
  <si>
    <t>POST-60059</t>
  </si>
  <si>
    <t>POST-60060</t>
  </si>
  <si>
    <t>POST-60061</t>
  </si>
  <si>
    <t>POST-60062</t>
  </si>
  <si>
    <t>POST-60063</t>
  </si>
  <si>
    <t>POST-60064</t>
  </si>
  <si>
    <t>POST-60065</t>
  </si>
  <si>
    <t>POST-60066</t>
  </si>
  <si>
    <t>POST-60067</t>
  </si>
  <si>
    <t>POST-60068</t>
  </si>
  <si>
    <t>POST-60069</t>
  </si>
  <si>
    <t>POST-60070</t>
  </si>
  <si>
    <t>POST-60071</t>
  </si>
  <si>
    <t>POST-60072</t>
  </si>
  <si>
    <t>POST-60073</t>
  </si>
  <si>
    <t>POST-60074</t>
  </si>
  <si>
    <t>POST-60075</t>
  </si>
  <si>
    <t>POST-60076</t>
  </si>
  <si>
    <t>POST-60077</t>
  </si>
  <si>
    <t>POST-60078</t>
  </si>
  <si>
    <t>POST-60079</t>
  </si>
  <si>
    <t>POST-60080</t>
  </si>
  <si>
    <t>POST-60081</t>
  </si>
  <si>
    <t>POST-60082</t>
  </si>
  <si>
    <t>POST-60083</t>
  </si>
  <si>
    <t>POST-60084</t>
  </si>
  <si>
    <t>POST-60085</t>
  </si>
  <si>
    <t>POST-60086</t>
  </si>
  <si>
    <t>POST-60087</t>
  </si>
  <si>
    <t>POST-60088</t>
  </si>
  <si>
    <t>POST-60089</t>
  </si>
  <si>
    <t>POST-60090</t>
  </si>
  <si>
    <t>POST-60091</t>
  </si>
  <si>
    <t>POST-60092</t>
  </si>
  <si>
    <t>POST-60093</t>
  </si>
  <si>
    <t>POST-60094</t>
  </si>
  <si>
    <t>POST-60095</t>
  </si>
  <si>
    <t>POST-60096</t>
  </si>
  <si>
    <t>POST-60097</t>
  </si>
  <si>
    <t>POST-60098</t>
  </si>
  <si>
    <t>POST-60099</t>
  </si>
  <si>
    <t>POST-60100</t>
  </si>
  <si>
    <t>POST-60101</t>
  </si>
  <si>
    <t>POST-60102</t>
  </si>
  <si>
    <t>POST-60103</t>
  </si>
  <si>
    <t>POST-60104</t>
  </si>
  <si>
    <t>POST-60105</t>
  </si>
  <si>
    <t>POST-60106</t>
  </si>
  <si>
    <t>POST-60107</t>
  </si>
  <si>
    <t>POST-60108</t>
  </si>
  <si>
    <t>POST-60109</t>
  </si>
  <si>
    <t>POST-60110</t>
  </si>
  <si>
    <t>POST-60111</t>
  </si>
  <si>
    <t>POST-60112</t>
  </si>
  <si>
    <t>POST-60113</t>
  </si>
  <si>
    <t>POST-60114</t>
  </si>
  <si>
    <t>POST-60115</t>
  </si>
  <si>
    <t>POST-60116</t>
  </si>
  <si>
    <t>POST-60117</t>
  </si>
  <si>
    <t>POST-60118</t>
  </si>
  <si>
    <t>POST-60119</t>
  </si>
  <si>
    <t>POST-60120</t>
  </si>
  <si>
    <t>POST-60121</t>
  </si>
  <si>
    <t>POST-60122</t>
  </si>
  <si>
    <t>POST-60123</t>
  </si>
  <si>
    <t>POST-60124</t>
  </si>
  <si>
    <t>POST-60125</t>
  </si>
  <si>
    <t>POST-60126</t>
  </si>
  <si>
    <t>POST-60127</t>
  </si>
  <si>
    <t>POST-60128</t>
  </si>
  <si>
    <t>POST-60129</t>
  </si>
  <si>
    <t>POST-60130</t>
  </si>
  <si>
    <t>POST-60131</t>
  </si>
  <si>
    <t>POST-60132</t>
  </si>
  <si>
    <t>POST-60133</t>
  </si>
  <si>
    <t>POST-60134</t>
  </si>
  <si>
    <t>POST-60135</t>
  </si>
  <si>
    <t>POST-60136</t>
  </si>
  <si>
    <t>POST-60137</t>
  </si>
  <si>
    <t>POST-60138</t>
  </si>
  <si>
    <t>POST-60139</t>
  </si>
  <si>
    <t>POST-60140</t>
  </si>
  <si>
    <t>POST-60141</t>
  </si>
  <si>
    <t>POST-60142</t>
  </si>
  <si>
    <t>POST-60143</t>
  </si>
  <si>
    <t>POST-60144</t>
  </si>
  <si>
    <t>POST-60145</t>
  </si>
  <si>
    <t>POST-60146</t>
  </si>
  <si>
    <t>POST-60147</t>
  </si>
  <si>
    <t>POST-60148</t>
  </si>
  <si>
    <t>POST-60149</t>
  </si>
  <si>
    <t>POST-60150</t>
  </si>
  <si>
    <t>POST-60151</t>
  </si>
  <si>
    <t>POST-60152</t>
  </si>
  <si>
    <t>POST-60153</t>
  </si>
  <si>
    <t>POST-60154</t>
  </si>
  <si>
    <t>POST-60155</t>
  </si>
  <si>
    <t>POST-60156</t>
  </si>
  <si>
    <t>POST-60157</t>
  </si>
  <si>
    <t>POST-60158</t>
  </si>
  <si>
    <t>POST-60159</t>
  </si>
  <si>
    <t>POST-60160</t>
  </si>
  <si>
    <t>POST-60161</t>
  </si>
  <si>
    <t>POST-60162</t>
  </si>
  <si>
    <t>POST-60163</t>
  </si>
  <si>
    <t>POST-60164</t>
  </si>
  <si>
    <t>POST-60165</t>
  </si>
  <si>
    <t>POST-60166</t>
  </si>
  <si>
    <t>POST-60167</t>
  </si>
  <si>
    <t>POST-60168</t>
  </si>
  <si>
    <t>POST-60169</t>
  </si>
  <si>
    <t>POST-60170</t>
  </si>
  <si>
    <t>POST-60171</t>
  </si>
  <si>
    <t>POST-60172</t>
  </si>
  <si>
    <t>POST-60173</t>
  </si>
  <si>
    <t>POST-60174</t>
  </si>
  <si>
    <t>POST-60175</t>
  </si>
  <si>
    <t>POST-60176</t>
  </si>
  <si>
    <t>POST-60177</t>
  </si>
  <si>
    <t>POST-60178</t>
  </si>
  <si>
    <t>POST-60179</t>
  </si>
  <si>
    <t>POST-60180</t>
  </si>
  <si>
    <t>POST-60181</t>
  </si>
  <si>
    <t>POST-60182</t>
  </si>
  <si>
    <t>POST-60183</t>
  </si>
  <si>
    <t>POST-60184</t>
  </si>
  <si>
    <t>POST-60185</t>
  </si>
  <si>
    <t>POST-60186</t>
  </si>
  <si>
    <t>POST-60187</t>
  </si>
  <si>
    <t>POST-60188</t>
  </si>
  <si>
    <t>POST-60189</t>
  </si>
  <si>
    <t>POST-60190</t>
  </si>
  <si>
    <t>POST-60191</t>
  </si>
  <si>
    <t>POST-60192</t>
  </si>
  <si>
    <t>POST-60193</t>
  </si>
  <si>
    <t>POST-60194</t>
  </si>
  <si>
    <t>POST-60195</t>
  </si>
  <si>
    <t>POST-60196</t>
  </si>
  <si>
    <t>POST-60197</t>
  </si>
  <si>
    <t>POST-60198</t>
  </si>
  <si>
    <t>POST-60199</t>
  </si>
  <si>
    <t>POST-60200</t>
  </si>
  <si>
    <t>POST-60201</t>
  </si>
  <si>
    <t>POST-60202</t>
  </si>
  <si>
    <t>POST-60203</t>
  </si>
  <si>
    <t>POST-60204</t>
  </si>
  <si>
    <t>POST-60205</t>
  </si>
  <si>
    <t>POST-60206</t>
  </si>
  <si>
    <t>POST-60207</t>
  </si>
  <si>
    <t>POST-60208</t>
  </si>
  <si>
    <t>POST-60209</t>
  </si>
  <si>
    <t>POST-60210</t>
  </si>
  <si>
    <t>POST-60211</t>
  </si>
  <si>
    <t>POST-60212</t>
  </si>
  <si>
    <t>POST-60213</t>
  </si>
  <si>
    <t>POST-60214</t>
  </si>
  <si>
    <t>POST-60215</t>
  </si>
  <si>
    <t>POST-60216</t>
  </si>
  <si>
    <t>POST-60217</t>
  </si>
  <si>
    <t>POST-60218</t>
  </si>
  <si>
    <t>POST-60219</t>
  </si>
  <si>
    <t>POST-60220</t>
  </si>
  <si>
    <t>POST-60221</t>
  </si>
  <si>
    <t>POST-60222</t>
  </si>
  <si>
    <t>POST-60223</t>
  </si>
  <si>
    <t>POST-60224</t>
  </si>
  <si>
    <t>POST-60225</t>
  </si>
  <si>
    <t>POST-60226</t>
  </si>
  <si>
    <t>POST-60227</t>
  </si>
  <si>
    <t>POST-60228</t>
  </si>
  <si>
    <t>POST-60229</t>
  </si>
  <si>
    <t>POST-60230</t>
  </si>
  <si>
    <t>POST-60231</t>
  </si>
  <si>
    <t>POST-60232</t>
  </si>
  <si>
    <t>POST-60233</t>
  </si>
  <si>
    <t>POST-60234</t>
  </si>
  <si>
    <t>POST-60235</t>
  </si>
  <si>
    <t>POST-60236</t>
  </si>
  <si>
    <t>POST-60237</t>
  </si>
  <si>
    <t>POST-60238</t>
  </si>
  <si>
    <t>POST-60239</t>
  </si>
  <si>
    <t>POST-60240</t>
  </si>
  <si>
    <t>POST-60241</t>
  </si>
  <si>
    <t>POST-60242</t>
  </si>
  <si>
    <t>POST-60243</t>
  </si>
  <si>
    <t>POST-60244</t>
  </si>
  <si>
    <t>POST-60245</t>
  </si>
  <si>
    <t>POST-60246</t>
  </si>
  <si>
    <t>POST-60247</t>
  </si>
  <si>
    <t>POST-60248</t>
  </si>
  <si>
    <t>POST-60249</t>
  </si>
  <si>
    <t>POST-60250</t>
  </si>
  <si>
    <t>POST-60251</t>
  </si>
  <si>
    <t>POST-60252</t>
  </si>
  <si>
    <t>POST-60253</t>
  </si>
  <si>
    <t>POST-60254</t>
  </si>
  <si>
    <t>POST-60255</t>
  </si>
  <si>
    <t>POST-60256</t>
  </si>
  <si>
    <t>POST-60257</t>
  </si>
  <si>
    <t>POST-60258</t>
  </si>
  <si>
    <t>POST-60259</t>
  </si>
  <si>
    <t>POST-60260</t>
  </si>
  <si>
    <t>POST-60261</t>
  </si>
  <si>
    <t>POST-60262</t>
  </si>
  <si>
    <t>POST-60263</t>
  </si>
  <si>
    <t>POST-60264</t>
  </si>
  <si>
    <t>POST-60265</t>
  </si>
  <si>
    <t>POST-60266</t>
  </si>
  <si>
    <t>POST-60267</t>
  </si>
  <si>
    <t>POST-60268</t>
  </si>
  <si>
    <t>POST-60269</t>
  </si>
  <si>
    <t>POST-60270</t>
  </si>
  <si>
    <t>POST-60271</t>
  </si>
  <si>
    <t>POST-60272</t>
  </si>
  <si>
    <t>POST-60273</t>
  </si>
  <si>
    <t>POST-60274</t>
  </si>
  <si>
    <t>POST-60275</t>
  </si>
  <si>
    <t>POST-60276</t>
  </si>
  <si>
    <t>POST-60277</t>
  </si>
  <si>
    <t>POST-60278</t>
  </si>
  <si>
    <t>POST-60279</t>
  </si>
  <si>
    <t>POST-60280</t>
  </si>
  <si>
    <t>POST-60281</t>
  </si>
  <si>
    <t>POST-60282</t>
  </si>
  <si>
    <t>POST-60283</t>
  </si>
  <si>
    <t>POST-60284</t>
  </si>
  <si>
    <t>POST-60285</t>
  </si>
  <si>
    <t>POST-60286</t>
  </si>
  <si>
    <t>POST-60287</t>
  </si>
  <si>
    <t>POST-60288</t>
  </si>
  <si>
    <t>POST-60289</t>
  </si>
  <si>
    <t>POST-60290</t>
  </si>
  <si>
    <t>POST-60291</t>
  </si>
  <si>
    <t>POST-60292</t>
  </si>
  <si>
    <t>POST-60293</t>
  </si>
  <si>
    <t>POST-60294</t>
  </si>
  <si>
    <t>POST-60295</t>
  </si>
  <si>
    <t>POST-60296</t>
  </si>
  <si>
    <t>POST-60297</t>
  </si>
  <si>
    <t>POST-60298</t>
  </si>
  <si>
    <t>POST-60299</t>
  </si>
  <si>
    <t>POST-60300</t>
  </si>
  <si>
    <t>POST-60301</t>
  </si>
  <si>
    <t>POST-60302</t>
  </si>
  <si>
    <t>POST-60303</t>
  </si>
  <si>
    <t>POST-60304</t>
  </si>
  <si>
    <t>POST-60305</t>
  </si>
  <si>
    <t>POST-60306</t>
  </si>
  <si>
    <t>POST-60307</t>
  </si>
  <si>
    <t>POST-60308</t>
  </si>
  <si>
    <t>POST-60309</t>
  </si>
  <si>
    <t>POST-60310</t>
  </si>
  <si>
    <t>POST-60311</t>
  </si>
  <si>
    <t>POST-60312</t>
  </si>
  <si>
    <t>POST-60313</t>
  </si>
  <si>
    <t>POST-60314</t>
  </si>
  <si>
    <t>POST-60315</t>
  </si>
  <si>
    <t>POST-60316</t>
  </si>
  <si>
    <t>POST-60317</t>
  </si>
  <si>
    <t>POST-60318</t>
  </si>
  <si>
    <t>POST-60319</t>
  </si>
  <si>
    <t>POST-60320</t>
  </si>
  <si>
    <t>POST-60321</t>
  </si>
  <si>
    <t>POST-60322</t>
  </si>
  <si>
    <t>POST-60323</t>
  </si>
  <si>
    <t>POST-60324</t>
  </si>
  <si>
    <t>POST-60325</t>
  </si>
  <si>
    <t>POST-60326</t>
  </si>
  <si>
    <t>POST-60327</t>
  </si>
  <si>
    <t>POST-60328</t>
  </si>
  <si>
    <t>POST-60329</t>
  </si>
  <si>
    <t>POST-60330</t>
  </si>
  <si>
    <t>POST-60331</t>
  </si>
  <si>
    <t>POST-60332</t>
  </si>
  <si>
    <t>POST-60333</t>
  </si>
  <si>
    <t>POST-60334</t>
  </si>
  <si>
    <t>POST-60335</t>
  </si>
  <si>
    <t>POST-60336</t>
  </si>
  <si>
    <t>POST-60337</t>
  </si>
  <si>
    <t>POST-60338</t>
  </si>
  <si>
    <t>POST-60339</t>
  </si>
  <si>
    <t>POST-60340</t>
  </si>
  <si>
    <t>POST-60341</t>
  </si>
  <si>
    <t>POST-60342</t>
  </si>
  <si>
    <t>POST-60343</t>
  </si>
  <si>
    <t>POST-60344</t>
  </si>
  <si>
    <t>POST-60345</t>
  </si>
  <si>
    <t>POST-60346</t>
  </si>
  <si>
    <t>POST-60347</t>
  </si>
  <si>
    <t>POST-60348</t>
  </si>
  <si>
    <t>POST-60349</t>
  </si>
  <si>
    <t>POST-60350</t>
  </si>
  <si>
    <t>POST-60351</t>
  </si>
  <si>
    <t>POST-60352</t>
  </si>
  <si>
    <t>POST-60353</t>
  </si>
  <si>
    <t>POST-60354</t>
  </si>
  <si>
    <t>POST-60355</t>
  </si>
  <si>
    <t>POST-60356</t>
  </si>
  <si>
    <t>POST-60357</t>
  </si>
  <si>
    <t>POST-60358</t>
  </si>
  <si>
    <t>POST-60359</t>
  </si>
  <si>
    <t>POST-60360</t>
  </si>
  <si>
    <t>POST-60361</t>
  </si>
  <si>
    <t>POST-60362</t>
  </si>
  <si>
    <t>POST-60363</t>
  </si>
  <si>
    <t>POST-60364</t>
  </si>
  <si>
    <t>POST-60365</t>
  </si>
  <si>
    <t>POST-60366</t>
  </si>
  <si>
    <t>POST-60367</t>
  </si>
  <si>
    <t>POST-60368</t>
  </si>
  <si>
    <t>POST-60369</t>
  </si>
  <si>
    <t>POST-60370</t>
  </si>
  <si>
    <t>POST-60371</t>
  </si>
  <si>
    <t>POST-60372</t>
  </si>
  <si>
    <t>POST-60373</t>
  </si>
  <si>
    <t>POST-60374</t>
  </si>
  <si>
    <t>POST-60375</t>
  </si>
  <si>
    <t>POST-60376</t>
  </si>
  <si>
    <t>POST-60377</t>
  </si>
  <si>
    <t>POST-60378</t>
  </si>
  <si>
    <t>POST-60379</t>
  </si>
  <si>
    <t>POST-60380</t>
  </si>
  <si>
    <t>POST-60381</t>
  </si>
  <si>
    <t>POST-60382</t>
  </si>
  <si>
    <t>POST-60383</t>
  </si>
  <si>
    <t>POST-60384</t>
  </si>
  <si>
    <t>POST-60385</t>
  </si>
  <si>
    <t>POST-60386</t>
  </si>
  <si>
    <t>POST-60387</t>
  </si>
  <si>
    <t>POST-60388</t>
  </si>
  <si>
    <t>POST-60389</t>
  </si>
  <si>
    <t>POST-60390</t>
  </si>
  <si>
    <t>POST-60391</t>
  </si>
  <si>
    <t>POST-60392</t>
  </si>
  <si>
    <t>POST-60393</t>
  </si>
  <si>
    <t>POST-60394</t>
  </si>
  <si>
    <t>POST-60395</t>
  </si>
  <si>
    <t>POST-60396</t>
  </si>
  <si>
    <t>POST-60397</t>
  </si>
  <si>
    <t>POST-60398</t>
  </si>
  <si>
    <t>POST-60399</t>
  </si>
  <si>
    <t>POST-60400</t>
  </si>
  <si>
    <t>POST-60401</t>
  </si>
  <si>
    <t>POST-60402</t>
  </si>
  <si>
    <t>POST-60403</t>
  </si>
  <si>
    <t>POST-60404</t>
  </si>
  <si>
    <t>POST-60405</t>
  </si>
  <si>
    <t>POST-60406</t>
  </si>
  <si>
    <t>POST-60407</t>
  </si>
  <si>
    <t>POST-60408</t>
  </si>
  <si>
    <t>POST-60409</t>
  </si>
  <si>
    <t>POST-60410</t>
  </si>
  <si>
    <t>POST-60411</t>
  </si>
  <si>
    <t>POST-60412</t>
  </si>
  <si>
    <t>POST-60413</t>
  </si>
  <si>
    <t>POST-60414</t>
  </si>
  <si>
    <t>POST-60415</t>
  </si>
  <si>
    <t>POST-60416</t>
  </si>
  <si>
    <t>POST-60417</t>
  </si>
  <si>
    <t>POST-60418</t>
  </si>
  <si>
    <t>POST-60419</t>
  </si>
  <si>
    <t>POST-60420</t>
  </si>
  <si>
    <t>POST-60421</t>
  </si>
  <si>
    <t>POST-60422</t>
  </si>
  <si>
    <t>POST-60423</t>
  </si>
  <si>
    <t>POST-60424</t>
  </si>
  <si>
    <t>POST-60425</t>
  </si>
  <si>
    <t>POST-60426</t>
  </si>
  <si>
    <t>POST-60427</t>
  </si>
  <si>
    <t>POST-60428</t>
  </si>
  <si>
    <t>POST-60429</t>
  </si>
  <si>
    <t>POST-60430</t>
  </si>
  <si>
    <t>POST-60431</t>
  </si>
  <si>
    <t>POST-60432</t>
  </si>
  <si>
    <t>POST-60433</t>
  </si>
  <si>
    <t>POST-60434</t>
  </si>
  <si>
    <t>POST-60435</t>
  </si>
  <si>
    <t>POST-60436</t>
  </si>
  <si>
    <t>POST-60437</t>
  </si>
  <si>
    <t>POST-60438</t>
  </si>
  <si>
    <t>POST-60439</t>
  </si>
  <si>
    <t>POST-60440</t>
  </si>
  <si>
    <t>POST-60441</t>
  </si>
  <si>
    <t>POST-60442</t>
  </si>
  <si>
    <t>POST-60443</t>
  </si>
  <si>
    <t>POST-60444</t>
  </si>
  <si>
    <t>POST-60445</t>
  </si>
  <si>
    <t>POST-60446</t>
  </si>
  <si>
    <t>POST-60447</t>
  </si>
  <si>
    <t>POST-60448</t>
  </si>
  <si>
    <t>POST-60449</t>
  </si>
  <si>
    <t>POST-60450</t>
  </si>
  <si>
    <t>POST-60451</t>
  </si>
  <si>
    <t>POST-60452</t>
  </si>
  <si>
    <t>POST-60453</t>
  </si>
  <si>
    <t>POST-60454</t>
  </si>
  <si>
    <t>POST-60455</t>
  </si>
  <si>
    <t>POST-60456</t>
  </si>
  <si>
    <t>POST-60457</t>
  </si>
  <si>
    <t>POST-60458</t>
  </si>
  <si>
    <t>POST-60459</t>
  </si>
  <si>
    <t>POST-60460</t>
  </si>
  <si>
    <t>POST-60461</t>
  </si>
  <si>
    <t>POST-60462</t>
  </si>
  <si>
    <t>POST-60463</t>
  </si>
  <si>
    <t>POST-60464</t>
  </si>
  <si>
    <t>POST-60465</t>
  </si>
  <si>
    <t>POST-60466</t>
  </si>
  <si>
    <t>POST-60467</t>
  </si>
  <si>
    <t>POST-60468</t>
  </si>
  <si>
    <t>POST-60469</t>
  </si>
  <si>
    <t>POST-60470</t>
  </si>
  <si>
    <t>POST-60471</t>
  </si>
  <si>
    <t>POST-60472</t>
  </si>
  <si>
    <t>POST-60473</t>
  </si>
  <si>
    <t>POST-60474</t>
  </si>
  <si>
    <t>POST-60475</t>
  </si>
  <si>
    <t>POST-60476</t>
  </si>
  <si>
    <t>POST-60477</t>
  </si>
  <si>
    <t>POST-60478</t>
  </si>
  <si>
    <t>POST-60479</t>
  </si>
  <si>
    <t>POST-60480</t>
  </si>
  <si>
    <t>POST-60481</t>
  </si>
  <si>
    <t>POST-60482</t>
  </si>
  <si>
    <t>POST-60483</t>
  </si>
  <si>
    <t>POST-60484</t>
  </si>
  <si>
    <t>POST-60485</t>
  </si>
  <si>
    <t>POST-60486</t>
  </si>
  <si>
    <t>POST-60487</t>
  </si>
  <si>
    <t>POST-60488</t>
  </si>
  <si>
    <t>POST-60489</t>
  </si>
  <si>
    <t>POST-60490</t>
  </si>
  <si>
    <t>POST-60491</t>
  </si>
  <si>
    <t>POST-60492</t>
  </si>
  <si>
    <t>POST-60493</t>
  </si>
  <si>
    <t>POST-60494</t>
  </si>
  <si>
    <t>POST-60495</t>
  </si>
  <si>
    <t>POST-60496</t>
  </si>
  <si>
    <t>POST-60497</t>
  </si>
  <si>
    <t>POST-60498</t>
  </si>
  <si>
    <t>POST-60499</t>
  </si>
  <si>
    <t>POST-60500</t>
  </si>
  <si>
    <t>POST-60501</t>
  </si>
  <si>
    <t>POST-60502</t>
  </si>
  <si>
    <t>POST-60503</t>
  </si>
  <si>
    <t>POST-60504</t>
  </si>
  <si>
    <t>POST-60505</t>
  </si>
  <si>
    <t>POST-60506</t>
  </si>
  <si>
    <t>POST-60507</t>
  </si>
  <si>
    <t>POST-60508</t>
  </si>
  <si>
    <t>POST-60509</t>
  </si>
  <si>
    <t>POST-60510</t>
  </si>
  <si>
    <t>POST-60511</t>
  </si>
  <si>
    <t>POST-60512</t>
  </si>
  <si>
    <t>POST-60513</t>
  </si>
  <si>
    <t>POST-60514</t>
  </si>
  <si>
    <t>POST-60515</t>
  </si>
  <si>
    <t>POST-60516</t>
  </si>
  <si>
    <t>POST-60517</t>
  </si>
  <si>
    <t>POST-60518</t>
  </si>
  <si>
    <t>POST-60519</t>
  </si>
  <si>
    <t>POST-60520</t>
  </si>
  <si>
    <t>POST-60521</t>
  </si>
  <si>
    <t>POST-60522</t>
  </si>
  <si>
    <t>POST-60523</t>
  </si>
  <si>
    <t>POST-60524</t>
  </si>
  <si>
    <t>POST-60525</t>
  </si>
  <si>
    <t>POST-60526</t>
  </si>
  <si>
    <t>POST-60527</t>
  </si>
  <si>
    <t>POST-60528</t>
  </si>
  <si>
    <t>POST-60529</t>
  </si>
  <si>
    <t>POST-60530</t>
  </si>
  <si>
    <t>POST-60531</t>
  </si>
  <si>
    <t>POST-60532</t>
  </si>
  <si>
    <t>POST-60533</t>
  </si>
  <si>
    <t>POST-60534</t>
  </si>
  <si>
    <t>POST-60535</t>
  </si>
  <si>
    <t>POST-60536</t>
  </si>
  <si>
    <t>POST-60537</t>
  </si>
  <si>
    <t>POST-60538</t>
  </si>
  <si>
    <t>POST-60539</t>
  </si>
  <si>
    <t>POST-60540</t>
  </si>
  <si>
    <t>POST-60541</t>
  </si>
  <si>
    <t>POST-60542</t>
  </si>
  <si>
    <t>POST-60543</t>
  </si>
  <si>
    <t>POST-60544</t>
  </si>
  <si>
    <t>POST-60545</t>
  </si>
  <si>
    <t>POST-60546</t>
  </si>
  <si>
    <t>POST-60547</t>
  </si>
  <si>
    <t>POST-60548</t>
  </si>
  <si>
    <t>POST-60549</t>
  </si>
  <si>
    <t>POST-60550</t>
  </si>
  <si>
    <t>POST-60551</t>
  </si>
  <si>
    <t>POST-60552</t>
  </si>
  <si>
    <t>POST-60553</t>
  </si>
  <si>
    <t>POST-60554</t>
  </si>
  <si>
    <t>POST-60555</t>
  </si>
  <si>
    <t>POST-60556</t>
  </si>
  <si>
    <t>POST-60557</t>
  </si>
  <si>
    <t>POST-60558</t>
  </si>
  <si>
    <t>POST-60559</t>
  </si>
  <si>
    <t>POST-60560</t>
  </si>
  <si>
    <t>POST-60561</t>
  </si>
  <si>
    <t>POST-60562</t>
  </si>
  <si>
    <t>POST-60563</t>
  </si>
  <si>
    <t>POST-60564</t>
  </si>
  <si>
    <t>POST-60565</t>
  </si>
  <si>
    <t>POST-60566</t>
  </si>
  <si>
    <t>POST-60567</t>
  </si>
  <si>
    <t>POST-60568</t>
  </si>
  <si>
    <t>POST-60569</t>
  </si>
  <si>
    <t>POST-60570</t>
  </si>
  <si>
    <t>POST-60571</t>
  </si>
  <si>
    <t>POST-60572</t>
  </si>
  <si>
    <t>POST-60573</t>
  </si>
  <si>
    <t>POST-60574</t>
  </si>
  <si>
    <t>POST-60575</t>
  </si>
  <si>
    <t>POST-60576</t>
  </si>
  <si>
    <t>POST-60577</t>
  </si>
  <si>
    <t>POST-60578</t>
  </si>
  <si>
    <t>POST-60579</t>
  </si>
  <si>
    <t>POST-60580</t>
  </si>
  <si>
    <t>POST-60581</t>
  </si>
  <si>
    <t>POST-60582</t>
  </si>
  <si>
    <t>POST-60583</t>
  </si>
  <si>
    <t>POST-60584</t>
  </si>
  <si>
    <t>POST-60585</t>
  </si>
  <si>
    <t>POST-60586</t>
  </si>
  <si>
    <t>POST-60587</t>
  </si>
  <si>
    <t>POST-60588</t>
  </si>
  <si>
    <t>POST-60589</t>
  </si>
  <si>
    <t>POST-60590</t>
  </si>
  <si>
    <t>POST-60591</t>
  </si>
  <si>
    <t>POST-60592</t>
  </si>
  <si>
    <t>POST-60593</t>
  </si>
  <si>
    <t>POST-60594</t>
  </si>
  <si>
    <t>POST-60595</t>
  </si>
  <si>
    <t>POST-60596</t>
  </si>
  <si>
    <t>POST-60597</t>
  </si>
  <si>
    <t>POST-60598</t>
  </si>
  <si>
    <t>POST-60599</t>
  </si>
  <si>
    <t>POST-60600</t>
  </si>
  <si>
    <t>POST-60601</t>
  </si>
  <si>
    <t>POST-60602</t>
  </si>
  <si>
    <t>POST-60603</t>
  </si>
  <si>
    <t>POST-60604</t>
  </si>
  <si>
    <t>POST-60605</t>
  </si>
  <si>
    <t>POST-60606</t>
  </si>
  <si>
    <t>POST-60607</t>
  </si>
  <si>
    <t>POST-60608</t>
  </si>
  <si>
    <t>POST-60609</t>
  </si>
  <si>
    <t>POST-60610</t>
  </si>
  <si>
    <t>POST-60611</t>
  </si>
  <si>
    <t>POST-60612</t>
  </si>
  <si>
    <t>POST-60613</t>
  </si>
  <si>
    <t>POST-60614</t>
  </si>
  <si>
    <t>POST-60615</t>
  </si>
  <si>
    <t>POST-60616</t>
  </si>
  <si>
    <t>POST-60617</t>
  </si>
  <si>
    <t>POST-60618</t>
  </si>
  <si>
    <t>POST-60619</t>
  </si>
  <si>
    <t>POST-60620</t>
  </si>
  <si>
    <t>POST-60621</t>
  </si>
  <si>
    <t>POST-60622</t>
  </si>
  <si>
    <t>POST-60623</t>
  </si>
  <si>
    <t>POST-60624</t>
  </si>
  <si>
    <t>POST-60625</t>
  </si>
  <si>
    <t>POST-60626</t>
  </si>
  <si>
    <t>POST-60627</t>
  </si>
  <si>
    <t>POST-60628</t>
  </si>
  <si>
    <t>POST-60629</t>
  </si>
  <si>
    <t>POST-60630</t>
  </si>
  <si>
    <t>POST-60631</t>
  </si>
  <si>
    <t>POST-60632</t>
  </si>
  <si>
    <t>POST-60633</t>
  </si>
  <si>
    <t>POST-60634</t>
  </si>
  <si>
    <t>POST-60635</t>
  </si>
  <si>
    <t>POST-60636</t>
  </si>
  <si>
    <t>POST-60637</t>
  </si>
  <si>
    <t>POST-60638</t>
  </si>
  <si>
    <t>POST-60639</t>
  </si>
  <si>
    <t>POST-60640</t>
  </si>
  <si>
    <t>POST-60641</t>
  </si>
  <si>
    <t>POST-60642</t>
  </si>
  <si>
    <t>POST-60643</t>
  </si>
  <si>
    <t>POST-60644</t>
  </si>
  <si>
    <t>POST-60645</t>
  </si>
  <si>
    <t>POST-60646</t>
  </si>
  <si>
    <t>POST-60647</t>
  </si>
  <si>
    <t>POST-60648</t>
  </si>
  <si>
    <t>POST-60649</t>
  </si>
  <si>
    <t>POST-60650</t>
  </si>
  <si>
    <t>POST-60651</t>
  </si>
  <si>
    <t>POST-60652</t>
  </si>
  <si>
    <t>POST-60653</t>
  </si>
  <si>
    <t>POST-60654</t>
  </si>
  <si>
    <t>POST-60655</t>
  </si>
  <si>
    <t>POST-60656</t>
  </si>
  <si>
    <t>POST-60657</t>
  </si>
  <si>
    <t>POST-60658</t>
  </si>
  <si>
    <t>POST-60659</t>
  </si>
  <si>
    <t>POST-60660</t>
  </si>
  <si>
    <t>POST-60661</t>
  </si>
  <si>
    <t>POST-60662</t>
  </si>
  <si>
    <t>POST-60663</t>
  </si>
  <si>
    <t>POST-60664</t>
  </si>
  <si>
    <t>POST-60665</t>
  </si>
  <si>
    <t>POST-60666</t>
  </si>
  <si>
    <t>POST-60667</t>
  </si>
  <si>
    <t>POST-60668</t>
  </si>
  <si>
    <t>POST-60669</t>
  </si>
  <si>
    <t>POST-60670</t>
  </si>
  <si>
    <t>POST-60671</t>
  </si>
  <si>
    <t>POST-60672</t>
  </si>
  <si>
    <t>POST-60673</t>
  </si>
  <si>
    <t>POST-60674</t>
  </si>
  <si>
    <t>POST-60675</t>
  </si>
  <si>
    <t>POST-60676</t>
  </si>
  <si>
    <t>POST-60677</t>
  </si>
  <si>
    <t>POST-60678</t>
  </si>
  <si>
    <t>POST-60679</t>
  </si>
  <si>
    <t>POST-60680</t>
  </si>
  <si>
    <t>POST-60681</t>
  </si>
  <si>
    <t>POST-60682</t>
  </si>
  <si>
    <t>POST-60683</t>
  </si>
  <si>
    <t>POST-60684</t>
  </si>
  <si>
    <t>POST-60685</t>
  </si>
  <si>
    <t>POST-60686</t>
  </si>
  <si>
    <t>POST-60687</t>
  </si>
  <si>
    <t>POST-60688</t>
  </si>
  <si>
    <t>POST-60689</t>
  </si>
  <si>
    <t>POST-60690</t>
  </si>
  <si>
    <t>POST-60691</t>
  </si>
  <si>
    <t>POST-60692</t>
  </si>
  <si>
    <t>POST-60693</t>
  </si>
  <si>
    <t>POST-60694</t>
  </si>
  <si>
    <t>POST-60695</t>
  </si>
  <si>
    <t>POST-60696</t>
  </si>
  <si>
    <t>POST-60697</t>
  </si>
  <si>
    <t>POST-60698</t>
  </si>
  <si>
    <t>POST-60699</t>
  </si>
  <si>
    <t>POST-60700</t>
  </si>
  <si>
    <t>POST-60701</t>
  </si>
  <si>
    <t>POST-60702</t>
  </si>
  <si>
    <t>POST-60703</t>
  </si>
  <si>
    <t>POST-60704</t>
  </si>
  <si>
    <t>POST-60705</t>
  </si>
  <si>
    <t>POST-60706</t>
  </si>
  <si>
    <t>POST-60707</t>
  </si>
  <si>
    <t>POST-60708</t>
  </si>
  <si>
    <t>POST-60709</t>
  </si>
  <si>
    <t>POST-60710</t>
  </si>
  <si>
    <t>POST-60711</t>
  </si>
  <si>
    <t>POST-60712</t>
  </si>
  <si>
    <t>POST-60713</t>
  </si>
  <si>
    <t>POST-60714</t>
  </si>
  <si>
    <t>POST-60715</t>
  </si>
  <si>
    <t>POST-60716</t>
  </si>
  <si>
    <t>POST-60717</t>
  </si>
  <si>
    <t>POST-60718</t>
  </si>
  <si>
    <t>POST-60719</t>
  </si>
  <si>
    <t>POST-60720</t>
  </si>
  <si>
    <t>POST-60721</t>
  </si>
  <si>
    <t>POST-60722</t>
  </si>
  <si>
    <t>POST-60723</t>
  </si>
  <si>
    <t>POST-60724</t>
  </si>
  <si>
    <t>POST-60725</t>
  </si>
  <si>
    <t>POST-60726</t>
  </si>
  <si>
    <t>POST-60727</t>
  </si>
  <si>
    <t>POST-60728</t>
  </si>
  <si>
    <t>POST-60729</t>
  </si>
  <si>
    <t>POST-60730</t>
  </si>
  <si>
    <t>POST-60731</t>
  </si>
  <si>
    <t>POST-60732</t>
  </si>
  <si>
    <t>POST-60733</t>
  </si>
  <si>
    <t>POST-60734</t>
  </si>
  <si>
    <t>POST-60735</t>
  </si>
  <si>
    <t>POST-60736</t>
  </si>
  <si>
    <t>POST-60737</t>
  </si>
  <si>
    <t>POST-60738</t>
  </si>
  <si>
    <t>POST-60739</t>
  </si>
  <si>
    <t>POST-60740</t>
  </si>
  <si>
    <t>POST-60741</t>
  </si>
  <si>
    <t>POST-60742</t>
  </si>
  <si>
    <t>POST-60743</t>
  </si>
  <si>
    <t>POST-60744</t>
  </si>
  <si>
    <t>POST-60745</t>
  </si>
  <si>
    <t>POST-60746</t>
  </si>
  <si>
    <t>POST-60747</t>
  </si>
  <si>
    <t>POST-60748</t>
  </si>
  <si>
    <t>POST-60749</t>
  </si>
  <si>
    <t>POST-60750</t>
  </si>
  <si>
    <t>POST-60751</t>
  </si>
  <si>
    <t>POST-60752</t>
  </si>
  <si>
    <t>POST-60753</t>
  </si>
  <si>
    <t>POST-60754</t>
  </si>
  <si>
    <t>POST-60755</t>
  </si>
  <si>
    <t>POST-60756</t>
  </si>
  <si>
    <t>POST-60757</t>
  </si>
  <si>
    <t>POST-60758</t>
  </si>
  <si>
    <t>POST-60759</t>
  </si>
  <si>
    <t>POST-60760</t>
  </si>
  <si>
    <t>POST-60761</t>
  </si>
  <si>
    <t>POST-60762</t>
  </si>
  <si>
    <t>POST-60763</t>
  </si>
  <si>
    <t>POST-60764</t>
  </si>
  <si>
    <t>POST-60765</t>
  </si>
  <si>
    <t>POST-60766</t>
  </si>
  <si>
    <t>POST-60767</t>
  </si>
  <si>
    <t>POST-60768</t>
  </si>
  <si>
    <t>POST-60769</t>
  </si>
  <si>
    <t>POST-60770</t>
  </si>
  <si>
    <t>POST-60771</t>
  </si>
  <si>
    <t>POST-60772</t>
  </si>
  <si>
    <t>POST-60773</t>
  </si>
  <si>
    <t>POST-60774</t>
  </si>
  <si>
    <t>POST-60775</t>
  </si>
  <si>
    <t>POST-60776</t>
  </si>
  <si>
    <t>POST-60777</t>
  </si>
  <si>
    <t>POST-60778</t>
  </si>
  <si>
    <t>POST-60779</t>
  </si>
  <si>
    <t>POST-60780</t>
  </si>
  <si>
    <t>POST-60781</t>
  </si>
  <si>
    <t>POST-60782</t>
  </si>
  <si>
    <t>POST-60783</t>
  </si>
  <si>
    <t>POST-60784</t>
  </si>
  <si>
    <t>POST-60785</t>
  </si>
  <si>
    <t>POST-60786</t>
  </si>
  <si>
    <t>POST-60787</t>
  </si>
  <si>
    <t>POST-60788</t>
  </si>
  <si>
    <t>POST-60789</t>
  </si>
  <si>
    <t>POST-60790</t>
  </si>
  <si>
    <t>POST-60791</t>
  </si>
  <si>
    <t>POST-60792</t>
  </si>
  <si>
    <t>POST-60793</t>
  </si>
  <si>
    <t>POST-60794</t>
  </si>
  <si>
    <t>POST-60795</t>
  </si>
  <si>
    <t>POST-60796</t>
  </si>
  <si>
    <t>POST-60797</t>
  </si>
  <si>
    <t>POST-60798</t>
  </si>
  <si>
    <t>POST-60799</t>
  </si>
  <si>
    <t>POST-60800</t>
  </si>
  <si>
    <t>POST-60801</t>
  </si>
  <si>
    <t>POST-60802</t>
  </si>
  <si>
    <t>POST-60803</t>
  </si>
  <si>
    <t>POST-60804</t>
  </si>
  <si>
    <t>POST-60805</t>
  </si>
  <si>
    <t>POST-60806</t>
  </si>
  <si>
    <t>POST-60807</t>
  </si>
  <si>
    <t>POST-60808</t>
  </si>
  <si>
    <t>POST-60809</t>
  </si>
  <si>
    <t>POST-60810</t>
  </si>
  <si>
    <t>POST-60811</t>
  </si>
  <si>
    <t>POST-60812</t>
  </si>
  <si>
    <t>POST-60813</t>
  </si>
  <si>
    <t>POST-60814</t>
  </si>
  <si>
    <t>POST-60815</t>
  </si>
  <si>
    <t>POST-60816</t>
  </si>
  <si>
    <t>POST-60817</t>
  </si>
  <si>
    <t>POST-60818</t>
  </si>
  <si>
    <t>POST-60819</t>
  </si>
  <si>
    <t>POST-60820</t>
  </si>
  <si>
    <t>POST-60821</t>
  </si>
  <si>
    <t>POST-60822</t>
  </si>
  <si>
    <t>POST-60823</t>
  </si>
  <si>
    <t>POST-60824</t>
  </si>
  <si>
    <t>POST-60825</t>
  </si>
  <si>
    <t>POST-60826</t>
  </si>
  <si>
    <t>POST-60827</t>
  </si>
  <si>
    <t>POST-60828</t>
  </si>
  <si>
    <t>POST-60829</t>
  </si>
  <si>
    <t>POST-60830</t>
  </si>
  <si>
    <t>POST-60831</t>
  </si>
  <si>
    <t>POST-60832</t>
  </si>
  <si>
    <t>POST-60833</t>
  </si>
  <si>
    <t>POST-60834</t>
  </si>
  <si>
    <t>POST-60835</t>
  </si>
  <si>
    <t>POST-60836</t>
  </si>
  <si>
    <t>POST-60837</t>
  </si>
  <si>
    <t>POST-60838</t>
  </si>
  <si>
    <t>POST-60839</t>
  </si>
  <si>
    <t>POST-60840</t>
  </si>
  <si>
    <t>POST-60841</t>
  </si>
  <si>
    <t>POST-60842</t>
  </si>
  <si>
    <t>POST-60843</t>
  </si>
  <si>
    <t>POST-60844</t>
  </si>
  <si>
    <t>POST-60845</t>
  </si>
  <si>
    <t>POST-60846</t>
  </si>
  <si>
    <t>POST-60847</t>
  </si>
  <si>
    <t>POST-60848</t>
  </si>
  <si>
    <t>POST-60849</t>
  </si>
  <si>
    <t>POST-60850</t>
  </si>
  <si>
    <t>POST-60851</t>
  </si>
  <si>
    <t>POST-60852</t>
  </si>
  <si>
    <t>POST-60853</t>
  </si>
  <si>
    <t>POST-60854</t>
  </si>
  <si>
    <t>POST-60855</t>
  </si>
  <si>
    <t>POST-60856</t>
  </si>
  <si>
    <t>POST-60857</t>
  </si>
  <si>
    <t>POST-60858</t>
  </si>
  <si>
    <t>POST-60859</t>
  </si>
  <si>
    <t>POST-60860</t>
  </si>
  <si>
    <t>POST-60861</t>
  </si>
  <si>
    <t>POST-60862</t>
  </si>
  <si>
    <t>POST-60863</t>
  </si>
  <si>
    <t>POST-60864</t>
  </si>
  <si>
    <t>POST-60865</t>
  </si>
  <si>
    <t>POST-60866</t>
  </si>
  <si>
    <t>POST-60867</t>
  </si>
  <si>
    <t>POST-60868</t>
  </si>
  <si>
    <t>POST-60869</t>
  </si>
  <si>
    <t>POST-60870</t>
  </si>
  <si>
    <t>POST-60871</t>
  </si>
  <si>
    <t>POST-60872</t>
  </si>
  <si>
    <t>POST-60873</t>
  </si>
  <si>
    <t>POST-60874</t>
  </si>
  <si>
    <t>POST-60875</t>
  </si>
  <si>
    <t>POST-60876</t>
  </si>
  <si>
    <t>POST-60877</t>
  </si>
  <si>
    <t>POST-60878</t>
  </si>
  <si>
    <t>POST-60879</t>
  </si>
  <si>
    <t>POST-60880</t>
  </si>
  <si>
    <t>POST-60881</t>
  </si>
  <si>
    <t>POST-60882</t>
  </si>
  <si>
    <t>POST-60883</t>
  </si>
  <si>
    <t>POST-60884</t>
  </si>
  <si>
    <t>POST-60885</t>
  </si>
  <si>
    <t>POST-60886</t>
  </si>
  <si>
    <t>POST-60887</t>
  </si>
  <si>
    <t>POST-60888</t>
  </si>
  <si>
    <t>POST-60889</t>
  </si>
  <si>
    <t>POST-60890</t>
  </si>
  <si>
    <t>POST-60891</t>
  </si>
  <si>
    <t>POST-60892</t>
  </si>
  <si>
    <t>POST-60893</t>
  </si>
  <si>
    <t>POST-60894</t>
  </si>
  <si>
    <t>POST-60895</t>
  </si>
  <si>
    <t>POST-60896</t>
  </si>
  <si>
    <t>POST-60897</t>
  </si>
  <si>
    <t>POST-60898</t>
  </si>
  <si>
    <t>POST-60899</t>
  </si>
  <si>
    <t>POST-60900</t>
  </si>
  <si>
    <t>POST-60901</t>
  </si>
  <si>
    <t>POST-60902</t>
  </si>
  <si>
    <t>POST-60903</t>
  </si>
  <si>
    <t>POST-60904</t>
  </si>
  <si>
    <t>POST-60905</t>
  </si>
  <si>
    <t>POST-60906</t>
  </si>
  <si>
    <t>POST-60907</t>
  </si>
  <si>
    <t>POST-60908</t>
  </si>
  <si>
    <t>POST-60909</t>
  </si>
  <si>
    <t>POST-60910</t>
  </si>
  <si>
    <t>POST-60911</t>
  </si>
  <si>
    <t>POST-60912</t>
  </si>
  <si>
    <t>POST-60913</t>
  </si>
  <si>
    <t>POST-60914</t>
  </si>
  <si>
    <t>POST-60915</t>
  </si>
  <si>
    <t>POST-60916</t>
  </si>
  <si>
    <t>POST-60917</t>
  </si>
  <si>
    <t>POST-60918</t>
  </si>
  <si>
    <t>POST-60919</t>
  </si>
  <si>
    <t>POST-60920</t>
  </si>
  <si>
    <t>POST-60921</t>
  </si>
  <si>
    <t>POST-60922</t>
  </si>
  <si>
    <t>POST-60923</t>
  </si>
  <si>
    <t>POST-60924</t>
  </si>
  <si>
    <t>POST-60925</t>
  </si>
  <si>
    <t>POST-60926</t>
  </si>
  <si>
    <t>POST-60927</t>
  </si>
  <si>
    <t>POST-60928</t>
  </si>
  <si>
    <t>POST-60929</t>
  </si>
  <si>
    <t>POST-60930</t>
  </si>
  <si>
    <t>POST-60931</t>
  </si>
  <si>
    <t>POST-60932</t>
  </si>
  <si>
    <t>POST-60933</t>
  </si>
  <si>
    <t>POST-60934</t>
  </si>
  <si>
    <t>POST-60935</t>
  </si>
  <si>
    <t>POST-60936</t>
  </si>
  <si>
    <t>POST-60937</t>
  </si>
  <si>
    <t>POST-60938</t>
  </si>
  <si>
    <t>POST-60939</t>
  </si>
  <si>
    <t>POST-60940</t>
  </si>
  <si>
    <t>POST-60941</t>
  </si>
  <si>
    <t>POST-60942</t>
  </si>
  <si>
    <t>POST-60943</t>
  </si>
  <si>
    <t>POST-60944</t>
  </si>
  <si>
    <t>POST-60945</t>
  </si>
  <si>
    <t>POST-60946</t>
  </si>
  <si>
    <t>POST-60947</t>
  </si>
  <si>
    <t>POST-60948</t>
  </si>
  <si>
    <t>POST-60949</t>
  </si>
  <si>
    <t>POST-60950</t>
  </si>
  <si>
    <t>POST-60951</t>
  </si>
  <si>
    <t>POST-60952</t>
  </si>
  <si>
    <t>POST-60953</t>
  </si>
  <si>
    <t>POST-60954</t>
  </si>
  <si>
    <t>POST-60955</t>
  </si>
  <si>
    <t>POST-60956</t>
  </si>
  <si>
    <t>POST-60957</t>
  </si>
  <si>
    <t>POST-60958</t>
  </si>
  <si>
    <t>POST-60959</t>
  </si>
  <si>
    <t>POST-60960</t>
  </si>
  <si>
    <t>POST-60961</t>
  </si>
  <si>
    <t>POST-60962</t>
  </si>
  <si>
    <t>POST-60963</t>
  </si>
  <si>
    <t>POST-60964</t>
  </si>
  <si>
    <t>POST-60965</t>
  </si>
  <si>
    <t>POST-60966</t>
  </si>
  <si>
    <t>POST-60967</t>
  </si>
  <si>
    <t>POST-60968</t>
  </si>
  <si>
    <t>POST-60969</t>
  </si>
  <si>
    <t>POST-60970</t>
  </si>
  <si>
    <t>POST-60971</t>
  </si>
  <si>
    <t>POST-60972</t>
  </si>
  <si>
    <t>POST-60973</t>
  </si>
  <si>
    <t>POST-60974</t>
  </si>
  <si>
    <t>POST-60975</t>
  </si>
  <si>
    <t>POST-60976</t>
  </si>
  <si>
    <t>POST-60977</t>
  </si>
  <si>
    <t>POST-60978</t>
  </si>
  <si>
    <t>POST-60979</t>
  </si>
  <si>
    <t>POST-60980</t>
  </si>
  <si>
    <t>POST-60981</t>
  </si>
  <si>
    <t>POST-60982</t>
  </si>
  <si>
    <t>POST-60983</t>
  </si>
  <si>
    <t>POST-60984</t>
  </si>
  <si>
    <t>POST-60985</t>
  </si>
  <si>
    <t>POST-60986</t>
  </si>
  <si>
    <t>POST-60987</t>
  </si>
  <si>
    <t>POST-60988</t>
  </si>
  <si>
    <t>POST-60989</t>
  </si>
  <si>
    <t>POST-60990</t>
  </si>
  <si>
    <t>POST-60991</t>
  </si>
  <si>
    <t>POST-60992</t>
  </si>
  <si>
    <t>POST-60993</t>
  </si>
  <si>
    <t>POST-60994</t>
  </si>
  <si>
    <t>POST-60995</t>
  </si>
  <si>
    <t>POST-60996</t>
  </si>
  <si>
    <t>POST-60997</t>
  </si>
  <si>
    <t>POST-60998</t>
  </si>
  <si>
    <t>POST-60999</t>
  </si>
  <si>
    <t>POST-61000</t>
  </si>
  <si>
    <t/>
  </si>
  <si>
    <t xml:space="preserve">ENGAGEMENT RATE </t>
  </si>
  <si>
    <t>Total</t>
  </si>
  <si>
    <t>zz</t>
  </si>
  <si>
    <t>Sum of Impressions</t>
  </si>
  <si>
    <t>Data</t>
  </si>
  <si>
    <t>Sum of Likes</t>
  </si>
  <si>
    <t>Social Media Analytics Summary</t>
  </si>
  <si>
    <t>Key Metrics</t>
  </si>
  <si>
    <t>Value</t>
  </si>
  <si>
    <t>Total Posts</t>
  </si>
  <si>
    <t>Total Impressions</t>
  </si>
  <si>
    <t>Total Reach</t>
  </si>
  <si>
    <t>Total Likes</t>
  </si>
  <si>
    <t>Total Comments</t>
  </si>
  <si>
    <t>Average Engagement Rate</t>
  </si>
  <si>
    <t>Highest Engagement Rate</t>
  </si>
  <si>
    <t>Date Range Start</t>
  </si>
  <si>
    <t>Date Range End</t>
  </si>
  <si>
    <t>Top Platform by Impressions</t>
  </si>
  <si>
    <t>Top Content Type by Impressions</t>
  </si>
  <si>
    <t>Platform Breakdown</t>
  </si>
  <si>
    <t>Posts</t>
  </si>
  <si>
    <t>Avg Engagement Rate</t>
  </si>
  <si>
    <t>Content Type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</si>
</sst>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&quot;%&quot;"/>
    <numFmt numFmtId="166" formatCode="dd/mmm/yyyy"/>
  </numFmts>
  <fonts count="11" x14ac:knownFonts="1">
    <font>
      <sz val="11"/>
      <color theme="1"/>
      <name val="Aptos Narrow"/>
      <scheme val="minor"/>
    </font>
    <font>
      <b/>
      <sz val="11"/>
      <color rgb="FFFFFFFF"/>
      <name val="Aptos Narrow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2"/>
      <color theme="1"/>
      <name val="Arial"/>
    </font>
    <font>
      <sz val="11"/>
      <color theme="1"/>
      <name val="Aptos"/>
    </font>
    <font>
      <b/>
      <sz val="11"/>
      <color rgb="FFFFFFFF"/>
      <name val="Aptos"/>
    </font>
    <font>
      <b/>
      <sz val="16"/>
      <color rgb="FFFFFFFF"/>
      <name val="Aptos"/>
    </font>
    <font>
      <b/>
      <sz val="11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10" fontId="5" fillId="0" borderId="0" xfId="0" applyNumberFormat="1" applyFont="1"/>
    <xf numFmtId="0" fontId="0" fillId="0" borderId="9" xfId="0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2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7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19203849518809"/>
          <c:y val="0.2572178477690289"/>
          <c:w val="0.54573315835520564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Sheet3!$B$5:$B$10</c:f>
              <c:numCache>
                <c:formatCode>#,##0</c:formatCode>
                <c:ptCount val="5"/>
                <c:pt idx="0">
                  <c:v>4229271</c:v>
                </c:pt>
                <c:pt idx="1">
                  <c:v>12425477</c:v>
                </c:pt>
                <c:pt idx="2">
                  <c:v>2033218</c:v>
                </c:pt>
                <c:pt idx="3">
                  <c:v>56611226</c:v>
                </c:pt>
                <c:pt idx="4">
                  <c:v>2930077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A-47ED-AC36-46847D11E5BB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Sheet3!$C$5:$C$10</c:f>
              <c:numCache>
                <c:formatCode>#,##0</c:formatCode>
                <c:ptCount val="5"/>
                <c:pt idx="0">
                  <c:v>62993</c:v>
                </c:pt>
                <c:pt idx="1">
                  <c:v>371886</c:v>
                </c:pt>
                <c:pt idx="2">
                  <c:v>46667</c:v>
                </c:pt>
                <c:pt idx="3">
                  <c:v>2070105</c:v>
                </c:pt>
                <c:pt idx="4">
                  <c:v>37591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A-47ED-AC36-46847D11E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186943"/>
        <c:axId val="355044495"/>
      </c:barChart>
      <c:catAx>
        <c:axId val="5151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44495"/>
        <c:crosses val="autoZero"/>
        <c:auto val="1"/>
        <c:lblAlgn val="ctr"/>
        <c:lblOffset val="100"/>
        <c:noMultiLvlLbl val="0"/>
      </c:catAx>
      <c:valAx>
        <c:axId val="3550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8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Impressions and SUM of Likes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</c:strCache>
            </c:strRef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Platform</c:v>
                </c:pt>
                <c:pt idx="1">
                  <c:v>Facebook</c:v>
                </c:pt>
                <c:pt idx="2">
                  <c:v>Instagram</c:v>
                </c:pt>
                <c:pt idx="3">
                  <c:v>LinkedIn</c:v>
                </c:pt>
                <c:pt idx="4">
                  <c:v>TikTok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0</c:v>
                </c:pt>
                <c:pt idx="1">
                  <c:v>4229271</c:v>
                </c:pt>
                <c:pt idx="2">
                  <c:v>12425477</c:v>
                </c:pt>
                <c:pt idx="3">
                  <c:v>2033218</c:v>
                </c:pt>
                <c:pt idx="4">
                  <c:v>56611226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20-47A1-B195-467683F70AD9}"/>
            </c:ext>
          </c:extLst>
        </c:ser>
        <c:ser>
          <c:idx val="1"/>
          <c:order val="1"/>
          <c:tx>
            <c:strRef>
              <c:f>'Pivot Table 1'!$C$1</c:f>
              <c:strCache>
                <c:ptCount val="1"/>
              </c:strCache>
            </c:strRef>
          </c:tx>
          <c:spPr>
            <a:solidFill>
              <a:srgbClr val="E97132"/>
            </a:solidFill>
            <a:ln cmpd="sng">
              <a:noFill/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Platform</c:v>
                </c:pt>
                <c:pt idx="1">
                  <c:v>Facebook</c:v>
                </c:pt>
                <c:pt idx="2">
                  <c:v>Instagram</c:v>
                </c:pt>
                <c:pt idx="3">
                  <c:v>LinkedIn</c:v>
                </c:pt>
                <c:pt idx="4">
                  <c:v>TikTok</c:v>
                </c:pt>
              </c:strCache>
            </c:strRef>
          </c:cat>
          <c:val>
            <c:numRef>
              <c:f>'Pivot Table 1'!$C$2:$C$6</c:f>
              <c:numCache>
                <c:formatCode>General</c:formatCode>
                <c:ptCount val="5"/>
                <c:pt idx="0">
                  <c:v>0</c:v>
                </c:pt>
                <c:pt idx="1">
                  <c:v>62993</c:v>
                </c:pt>
                <c:pt idx="2">
                  <c:v>371886</c:v>
                </c:pt>
                <c:pt idx="3">
                  <c:v>46667</c:v>
                </c:pt>
                <c:pt idx="4">
                  <c:v>2070105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020-47A1-B195-467683F70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636300"/>
        <c:axId val="1368085534"/>
      </c:barChart>
      <c:catAx>
        <c:axId val="1550636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8085534"/>
        <c:crosses val="autoZero"/>
        <c:auto val="1"/>
        <c:lblAlgn val="ctr"/>
        <c:lblOffset val="100"/>
        <c:noMultiLvlLbl val="1"/>
      </c:catAx>
      <c:valAx>
        <c:axId val="1368085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06363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1</xdr:row>
      <xdr:rowOff>68580</xdr:rowOff>
    </xdr:from>
    <xdr:to>
      <xdr:col>12</xdr:col>
      <xdr:colOff>220980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9FE5F-6D7F-C521-8503-A4C09A506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123825</xdr:rowOff>
    </xdr:from>
    <xdr:ext cx="5715000" cy="3533775"/>
    <xdr:graphicFrame macro="">
      <xdr:nvGraphicFramePr>
        <xdr:cNvPr id="1518030228" name="Chart 1" title="Chart">
          <a:extLst>
            <a:ext uri="{FF2B5EF4-FFF2-40B4-BE49-F238E27FC236}">
              <a16:creationId xmlns:a16="http://schemas.microsoft.com/office/drawing/2014/main" id="{00000000-0008-0000-0100-0000944D7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vaan Thukral" refreshedDate="46272.712079513891" refreshedVersion="8" recordCount="1000" xr:uid="{00000000-000A-0000-FFFF-FFFF00000000}">
  <cacheSource type="worksheet">
    <worksheetSource ref="A1:O1001" sheet="Social Media Analytics"/>
  </cacheSource>
  <cacheFields count="15">
    <cacheField name="Post ID" numFmtId="0">
      <sharedItems/>
    </cacheField>
    <cacheField name="Platform" numFmtId="0">
      <sharedItems count="5">
        <s v="Facebook"/>
        <s v="Instagram"/>
        <s v="Twitter"/>
        <s v="TikTok"/>
        <s v="LinkedIn"/>
      </sharedItems>
    </cacheField>
    <cacheField name="Post Date" numFmtId="164">
      <sharedItems containsSemiMixedTypes="0" containsNonDate="0" containsDate="1" containsString="0" minDate="2024-01-01T00:00:00" maxDate="2025-12-29T00:00:00"/>
    </cacheField>
    <cacheField name="Content Type" numFmtId="0">
      <sharedItems count="5">
        <s v="Text"/>
        <s v="Image"/>
        <s v="Video"/>
        <s v="Reel"/>
        <s v="Carousel"/>
      </sharedItems>
    </cacheField>
    <cacheField name="Impressions" numFmtId="3">
      <sharedItems containsSemiMixedTypes="0" containsString="0" containsNumber="1" containsInteger="1" minValue="276" maxValue="543651"/>
    </cacheField>
    <cacheField name="Reach" numFmtId="3">
      <sharedItems containsSemiMixedTypes="0" containsString="0" containsNumber="1" containsInteger="1" minValue="140" maxValue="341530"/>
    </cacheField>
    <cacheField name="Likes" numFmtId="3">
      <sharedItems containsSemiMixedTypes="0" containsString="0" containsNumber="1" containsInteger="1" minValue="2" maxValue="38740"/>
    </cacheField>
    <cacheField name="Comments" numFmtId="3">
      <sharedItems containsSemiMixedTypes="0" containsString="0" containsNumber="1" containsInteger="1" minValue="0" maxValue="7712"/>
    </cacheField>
    <cacheField name="Shares" numFmtId="3">
      <sharedItems containsSemiMixedTypes="0" containsString="0" containsNumber="1" containsInteger="1" minValue="1" maxValue="13325"/>
    </cacheField>
    <cacheField name="ENGAGEMENT RATE " numFmtId="10">
      <sharedItems containsSemiMixedTypes="0" containsString="0" containsNumber="1" minValue="8.2570264118985871E-3" maxValue="0.1252562802258313"/>
    </cacheField>
    <cacheField name="Engagement Rate %" numFmtId="165">
      <sharedItems containsSemiMixedTypes="0" containsString="0" containsNumber="1" minValue="1.27" maxValue="19.34"/>
    </cacheField>
    <cacheField name="Engagement Rate" numFmtId="10">
      <sharedItems containsSemiMixedTypes="0" containsString="0" containsNumber="1" minValue="8.2570264118985871E-3" maxValue="0.1252562802258313"/>
    </cacheField>
    <cacheField name="Content Type2" numFmtId="0">
      <sharedItems containsBlank="1"/>
    </cacheField>
    <cacheField name="Total Shares" numFmtId="0">
      <sharedItems containsBlank="1" containsMixedTypes="1" containsNumber="1" containsInteger="1" minValue="13094" maxValue="444520"/>
    </cacheField>
    <cacheField name="Engagement Rate2" numFmtId="0">
      <sharedItems containsString="0" containsBlank="1" containsNumber="1" minValue="1.8524128976412032E-2" maxValue="3.508290531556903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OST-60001"/>
    <x v="0"/>
    <d v="2025-01-28T00:00:00"/>
    <x v="0"/>
    <n v="24500"/>
    <n v="7733"/>
    <n v="383"/>
    <n v="68"/>
    <n v="188"/>
    <n v="2.6081632653061224E-2"/>
    <n v="8.26"/>
    <n v="2.6081632653061224E-2"/>
    <s v="Text"/>
    <n v="13094"/>
    <n v="2.6081632653061224E-2"/>
  </r>
  <r>
    <s v="POST-60002"/>
    <x v="1"/>
    <d v="2025-10-29T00:00:00"/>
    <x v="1"/>
    <n v="23105"/>
    <n v="11753"/>
    <n v="298"/>
    <n v="61"/>
    <n v="69"/>
    <n v="1.8524128976412032E-2"/>
    <n v="3.64"/>
    <n v="1.8524128976412032E-2"/>
    <s v="Image"/>
    <n v="18617"/>
    <n v="1.8524128976412032E-2"/>
  </r>
  <r>
    <s v="POST-60003"/>
    <x v="2"/>
    <d v="2024-05-21T00:00:00"/>
    <x v="2"/>
    <n v="24700"/>
    <n v="14185"/>
    <n v="168"/>
    <n v="54"/>
    <n v="238"/>
    <n v="1.862348178137652E-2"/>
    <n v="3.24"/>
    <n v="1.862348178137652E-2"/>
    <s v="Video"/>
    <n v="440197"/>
    <n v="1.862348178137652E-2"/>
  </r>
  <r>
    <s v="POST-60004"/>
    <x v="3"/>
    <d v="2025-06-27T00:00:00"/>
    <x v="2"/>
    <n v="400879"/>
    <n v="188271"/>
    <n v="5974"/>
    <n v="2084"/>
    <n v="6006"/>
    <n v="3.5082905315569034E-2"/>
    <n v="7.47"/>
    <n v="3.5082905315569034E-2"/>
    <s v="Reel"/>
    <n v="444520"/>
    <n v="3.5082905315569034E-2"/>
  </r>
  <r>
    <s v="POST-60005"/>
    <x v="1"/>
    <d v="2024-04-15T00:00:00"/>
    <x v="2"/>
    <n v="13259"/>
    <n v="5637"/>
    <n v="352"/>
    <n v="61"/>
    <n v="8"/>
    <n v="3.1752017497548836E-2"/>
    <n v="7.47"/>
    <n v="3.1752017497548836E-2"/>
    <s v="Carousel"/>
    <n v="25182"/>
    <n v="3.1752017497548836E-2"/>
  </r>
  <r>
    <s v="POST-60006"/>
    <x v="1"/>
    <d v="2024-03-21T00:00:00"/>
    <x v="1"/>
    <n v="6469"/>
    <n v="3790"/>
    <n v="205"/>
    <n v="10"/>
    <n v="13"/>
    <n v="3.5245014685422786E-2"/>
    <n v="6.02"/>
    <n v="3.5245014685422786E-2"/>
    <m/>
    <m/>
    <m/>
  </r>
  <r>
    <s v="POST-60007"/>
    <x v="1"/>
    <d v="2025-08-26T00:00:00"/>
    <x v="3"/>
    <n v="35618"/>
    <n v="19926"/>
    <n v="667"/>
    <n v="236"/>
    <n v="182"/>
    <n v="3.0462125891403222E-2"/>
    <n v="5.45"/>
    <n v="3.0462125891403222E-2"/>
    <s v="winner"/>
    <s v="Reel"/>
    <m/>
  </r>
  <r>
    <s v="POST-60008"/>
    <x v="4"/>
    <d v="2024-07-04T00:00:00"/>
    <x v="0"/>
    <n v="9468"/>
    <n v="4910"/>
    <n v="173"/>
    <n v="67"/>
    <n v="20"/>
    <n v="2.746092099704267E-2"/>
    <n v="5.3"/>
    <n v="2.746092099704267E-2"/>
    <m/>
    <m/>
    <m/>
  </r>
  <r>
    <s v="POST-60009"/>
    <x v="1"/>
    <d v="2024-01-29T00:00:00"/>
    <x v="3"/>
    <n v="99396"/>
    <n v="75092"/>
    <n v="5314"/>
    <n v="887"/>
    <n v="706"/>
    <n v="6.9489717896092401E-2"/>
    <n v="9.1999999999999993"/>
    <n v="6.9489717896092401E-2"/>
    <m/>
    <m/>
    <m/>
  </r>
  <r>
    <s v="POST-60010"/>
    <x v="3"/>
    <d v="2024-09-15T00:00:00"/>
    <x v="3"/>
    <n v="27570"/>
    <n v="16102"/>
    <n v="1791"/>
    <n v="337"/>
    <n v="297"/>
    <n v="8.7957925281102647E-2"/>
    <n v="15.06"/>
    <n v="8.7957925281102647E-2"/>
    <m/>
    <m/>
    <m/>
  </r>
  <r>
    <s v="POST-60011"/>
    <x v="0"/>
    <d v="2024-08-26T00:00:00"/>
    <x v="2"/>
    <n v="49204"/>
    <n v="23651"/>
    <n v="804"/>
    <n v="381"/>
    <n v="677"/>
    <n v="3.7842451833184292E-2"/>
    <n v="7.87"/>
    <n v="3.7842451833184292E-2"/>
    <m/>
    <m/>
    <m/>
  </r>
  <r>
    <s v="POST-60012"/>
    <x v="3"/>
    <d v="2024-02-08T00:00:00"/>
    <x v="2"/>
    <n v="491623"/>
    <n v="208356"/>
    <n v="20614"/>
    <n v="3190"/>
    <n v="7463"/>
    <n v="6.359954680720796E-2"/>
    <n v="15.01"/>
    <n v="6.359954680720796E-2"/>
    <m/>
    <m/>
    <m/>
  </r>
  <r>
    <s v="POST-60013"/>
    <x v="1"/>
    <d v="2024-04-29T00:00:00"/>
    <x v="4"/>
    <n v="64155"/>
    <n v="29632"/>
    <n v="1109"/>
    <n v="285"/>
    <n v="145"/>
    <n v="2.3988777180266541E-2"/>
    <n v="5.19"/>
    <n v="2.3988777180266541E-2"/>
    <m/>
    <m/>
    <m/>
  </r>
  <r>
    <s v="POST-60014"/>
    <x v="1"/>
    <d v="2024-12-07T00:00:00"/>
    <x v="4"/>
    <n v="28492"/>
    <n v="15059"/>
    <n v="332"/>
    <n v="141"/>
    <n v="89"/>
    <n v="1.9724835041415135E-2"/>
    <n v="3.73"/>
    <n v="1.9724835041415135E-2"/>
    <m/>
    <m/>
    <m/>
  </r>
  <r>
    <s v="POST-60015"/>
    <x v="1"/>
    <d v="2024-09-11T00:00:00"/>
    <x v="2"/>
    <n v="10536"/>
    <n v="6800"/>
    <n v="151"/>
    <n v="35"/>
    <n v="32"/>
    <n v="2.0690964312832193E-2"/>
    <n v="3.21"/>
    <n v="2.0690964312832193E-2"/>
    <m/>
    <m/>
    <m/>
  </r>
  <r>
    <s v="POST-60016"/>
    <x v="4"/>
    <d v="2025-12-22T00:00:00"/>
    <x v="0"/>
    <n v="18688"/>
    <n v="11271"/>
    <n v="652"/>
    <n v="106"/>
    <n v="143"/>
    <n v="4.8212756849315065E-2"/>
    <n v="7.99"/>
    <n v="4.8212756849315065E-2"/>
    <m/>
    <m/>
    <m/>
  </r>
  <r>
    <s v="POST-60017"/>
    <x v="0"/>
    <d v="2024-03-25T00:00:00"/>
    <x v="4"/>
    <n v="21204"/>
    <n v="13712"/>
    <n v="177"/>
    <n v="179"/>
    <n v="269"/>
    <n v="2.9475570647047727E-2"/>
    <n v="4.5599999999999996"/>
    <n v="2.9475570647047727E-2"/>
    <m/>
    <m/>
    <m/>
  </r>
  <r>
    <s v="POST-60018"/>
    <x v="1"/>
    <d v="2025-09-18T00:00:00"/>
    <x v="1"/>
    <n v="28864"/>
    <n v="14737"/>
    <n v="703"/>
    <n v="146"/>
    <n v="68"/>
    <n v="3.1769678492239467E-2"/>
    <n v="6.22"/>
    <n v="3.1769678492239467E-2"/>
    <m/>
    <m/>
    <m/>
  </r>
  <r>
    <s v="POST-60019"/>
    <x v="1"/>
    <d v="2024-08-07T00:00:00"/>
    <x v="1"/>
    <n v="46840"/>
    <n v="31199"/>
    <n v="1992"/>
    <n v="297"/>
    <n v="285"/>
    <n v="5.4953031596925703E-2"/>
    <n v="8.25"/>
    <n v="5.4953031596925703E-2"/>
    <m/>
    <m/>
    <m/>
  </r>
  <r>
    <s v="POST-60020"/>
    <x v="0"/>
    <d v="2025-07-23T00:00:00"/>
    <x v="0"/>
    <n v="1778"/>
    <n v="615"/>
    <n v="27"/>
    <n v="6"/>
    <n v="9"/>
    <n v="2.3622047244094488E-2"/>
    <n v="6.83"/>
    <n v="2.3622047244094488E-2"/>
    <m/>
    <m/>
    <m/>
  </r>
  <r>
    <s v="POST-60021"/>
    <x v="3"/>
    <d v="2025-04-23T00:00:00"/>
    <x v="3"/>
    <n v="156565"/>
    <n v="91504"/>
    <n v="7976"/>
    <n v="1007"/>
    <n v="2374"/>
    <n v="7.2538562258486886E-2"/>
    <n v="12.41"/>
    <n v="7.2538562258486886E-2"/>
    <m/>
    <m/>
    <m/>
  </r>
  <r>
    <s v="POST-60022"/>
    <x v="0"/>
    <d v="2024-08-30T00:00:00"/>
    <x v="4"/>
    <n v="24262"/>
    <n v="14375"/>
    <n v="505"/>
    <n v="155"/>
    <n v="275"/>
    <n v="3.8537630863078064E-2"/>
    <n v="6.5"/>
    <n v="3.8537630863078064E-2"/>
    <m/>
    <m/>
    <m/>
  </r>
  <r>
    <s v="POST-60023"/>
    <x v="4"/>
    <d v="2025-11-07T00:00:00"/>
    <x v="0"/>
    <n v="6057"/>
    <n v="4215"/>
    <n v="74"/>
    <n v="65"/>
    <n v="43"/>
    <n v="3.0047878487700182E-2"/>
    <n v="4.32"/>
    <n v="3.0047878487700182E-2"/>
    <m/>
    <m/>
    <m/>
  </r>
  <r>
    <s v="POST-60024"/>
    <x v="0"/>
    <d v="2025-11-15T00:00:00"/>
    <x v="0"/>
    <n v="28124"/>
    <n v="17131"/>
    <n v="645"/>
    <n v="158"/>
    <n v="506"/>
    <n v="4.654387711563078E-2"/>
    <n v="7.64"/>
    <n v="4.654387711563078E-2"/>
    <m/>
    <m/>
    <m/>
  </r>
  <r>
    <s v="POST-60025"/>
    <x v="4"/>
    <d v="2024-10-14T00:00:00"/>
    <x v="1"/>
    <n v="17059"/>
    <n v="11269"/>
    <n v="423"/>
    <n v="68"/>
    <n v="34"/>
    <n v="3.0775543701272057E-2"/>
    <n v="4.66"/>
    <n v="3.0775543701272057E-2"/>
    <m/>
    <m/>
    <m/>
  </r>
  <r>
    <s v="POST-60026"/>
    <x v="2"/>
    <d v="2025-09-09T00:00:00"/>
    <x v="0"/>
    <n v="5218"/>
    <n v="3851"/>
    <n v="42"/>
    <n v="14"/>
    <n v="46"/>
    <n v="1.9547719432732848E-2"/>
    <n v="2.65"/>
    <n v="1.9547719432732848E-2"/>
    <m/>
    <m/>
    <m/>
  </r>
  <r>
    <s v="POST-60027"/>
    <x v="3"/>
    <d v="2024-01-20T00:00:00"/>
    <x v="3"/>
    <n v="343265"/>
    <n v="129653"/>
    <n v="5453"/>
    <n v="924"/>
    <n v="4580"/>
    <n v="3.1919945231817987E-2"/>
    <n v="8.4499999999999993"/>
    <n v="3.1919945231817987E-2"/>
    <m/>
    <m/>
    <m/>
  </r>
  <r>
    <s v="POST-60028"/>
    <x v="3"/>
    <d v="2024-01-20T00:00:00"/>
    <x v="2"/>
    <n v="272700"/>
    <n v="129585"/>
    <n v="15140"/>
    <n v="1162"/>
    <n v="5661"/>
    <n v="8.053905390539054E-2"/>
    <n v="16.95"/>
    <n v="8.053905390539054E-2"/>
    <m/>
    <m/>
    <m/>
  </r>
  <r>
    <s v="POST-60029"/>
    <x v="1"/>
    <d v="2025-07-18T00:00:00"/>
    <x v="1"/>
    <n v="3041"/>
    <n v="1504"/>
    <n v="44"/>
    <n v="5"/>
    <n v="5"/>
    <n v="1.7757316672147319E-2"/>
    <n v="3.59"/>
    <n v="1.7757316672147319E-2"/>
    <m/>
    <m/>
    <m/>
  </r>
  <r>
    <s v="POST-60030"/>
    <x v="3"/>
    <d v="2024-11-04T00:00:00"/>
    <x v="2"/>
    <n v="458030"/>
    <n v="177152"/>
    <n v="5638"/>
    <n v="1481"/>
    <n v="8257"/>
    <n v="3.356985350304565E-2"/>
    <n v="8.68"/>
    <n v="3.356985350304565E-2"/>
    <m/>
    <m/>
    <m/>
  </r>
  <r>
    <s v="POST-60031"/>
    <x v="1"/>
    <d v="2025-09-25T00:00:00"/>
    <x v="1"/>
    <n v="35777"/>
    <n v="21884"/>
    <n v="534"/>
    <n v="93"/>
    <n v="46"/>
    <n v="1.8810967940296838E-2"/>
    <n v="3.08"/>
    <n v="1.8810967940296838E-2"/>
    <m/>
    <m/>
    <m/>
  </r>
  <r>
    <s v="POST-60032"/>
    <x v="0"/>
    <d v="2025-07-01T00:00:00"/>
    <x v="0"/>
    <n v="15233"/>
    <n v="10461"/>
    <n v="106"/>
    <n v="82"/>
    <n v="289"/>
    <n v="3.1313595483489789E-2"/>
    <n v="4.5599999999999996"/>
    <n v="3.1313595483489789E-2"/>
    <m/>
    <m/>
    <m/>
  </r>
  <r>
    <s v="POST-60033"/>
    <x v="0"/>
    <d v="2024-11-10T00:00:00"/>
    <x v="2"/>
    <n v="47861"/>
    <n v="33077"/>
    <n v="457"/>
    <n v="612"/>
    <n v="666"/>
    <n v="3.6250809636238272E-2"/>
    <n v="5.25"/>
    <n v="3.6250809636238272E-2"/>
    <m/>
    <m/>
    <m/>
  </r>
  <r>
    <s v="POST-60034"/>
    <x v="4"/>
    <d v="2024-12-16T00:00:00"/>
    <x v="2"/>
    <n v="31340"/>
    <n v="20034"/>
    <n v="370"/>
    <n v="402"/>
    <n v="184"/>
    <n v="3.0504148053605615E-2"/>
    <n v="4.7699999999999996"/>
    <n v="3.0504148053605615E-2"/>
    <m/>
    <m/>
    <m/>
  </r>
  <r>
    <s v="POST-60035"/>
    <x v="1"/>
    <d v="2025-12-22T00:00:00"/>
    <x v="1"/>
    <n v="39118"/>
    <n v="25411"/>
    <n v="830"/>
    <n v="287"/>
    <n v="240"/>
    <n v="3.4689912572217395E-2"/>
    <n v="5.34"/>
    <n v="3.4689912572217395E-2"/>
    <m/>
    <m/>
    <m/>
  </r>
  <r>
    <s v="POST-60036"/>
    <x v="3"/>
    <d v="2025-04-13T00:00:00"/>
    <x v="3"/>
    <n v="24021"/>
    <n v="8915"/>
    <n v="1051"/>
    <n v="243"/>
    <n v="176"/>
    <n v="6.1196453103534408E-2"/>
    <n v="16.489999999999998"/>
    <n v="6.1196453103534408E-2"/>
    <m/>
    <m/>
    <m/>
  </r>
  <r>
    <s v="POST-60037"/>
    <x v="3"/>
    <d v="2025-05-19T00:00:00"/>
    <x v="3"/>
    <n v="366792"/>
    <n v="130891"/>
    <n v="14527"/>
    <n v="2483"/>
    <n v="3148"/>
    <n v="5.495757813692774E-2"/>
    <n v="15.4"/>
    <n v="5.495757813692774E-2"/>
    <m/>
    <m/>
    <m/>
  </r>
  <r>
    <s v="POST-60038"/>
    <x v="3"/>
    <d v="2024-09-28T00:00:00"/>
    <x v="2"/>
    <n v="326182"/>
    <n v="168420"/>
    <n v="17736"/>
    <n v="4345"/>
    <n v="7499"/>
    <n v="9.068556817972788E-2"/>
    <n v="17.559999999999999"/>
    <n v="9.068556817972788E-2"/>
    <m/>
    <m/>
    <m/>
  </r>
  <r>
    <s v="POST-60039"/>
    <x v="4"/>
    <d v="2025-03-22T00:00:00"/>
    <x v="4"/>
    <n v="735"/>
    <n v="520"/>
    <n v="21"/>
    <n v="3"/>
    <n v="6"/>
    <n v="4.0816326530612242E-2"/>
    <n v="5.77"/>
    <n v="4.0816326530612242E-2"/>
    <m/>
    <m/>
    <m/>
  </r>
  <r>
    <s v="POST-60040"/>
    <x v="3"/>
    <d v="2025-02-02T00:00:00"/>
    <x v="3"/>
    <n v="397172"/>
    <n v="241369"/>
    <n v="19478"/>
    <n v="5480"/>
    <n v="7454"/>
    <n v="8.1606961215795679E-2"/>
    <n v="13.43"/>
    <n v="8.1606961215795679E-2"/>
    <m/>
    <m/>
    <m/>
  </r>
  <r>
    <s v="POST-60041"/>
    <x v="2"/>
    <d v="2025-01-03T00:00:00"/>
    <x v="0"/>
    <n v="22792"/>
    <n v="13157"/>
    <n v="279"/>
    <n v="61"/>
    <n v="86"/>
    <n v="1.8690768690768692E-2"/>
    <n v="3.24"/>
    <n v="1.8690768690768692E-2"/>
    <m/>
    <m/>
    <m/>
  </r>
  <r>
    <s v="POST-60042"/>
    <x v="0"/>
    <d v="2025-11-30T00:00:00"/>
    <x v="1"/>
    <n v="22661"/>
    <n v="9101"/>
    <n v="303"/>
    <n v="110"/>
    <n v="175"/>
    <n v="2.5947663386434845E-2"/>
    <n v="6.46"/>
    <n v="2.5947663386434845E-2"/>
    <m/>
    <m/>
    <m/>
  </r>
  <r>
    <s v="POST-60043"/>
    <x v="0"/>
    <d v="2025-11-04T00:00:00"/>
    <x v="2"/>
    <n v="55310"/>
    <n v="30993"/>
    <n v="966"/>
    <n v="175"/>
    <n v="514"/>
    <n v="2.992225637316941E-2"/>
    <n v="5.34"/>
    <n v="2.992225637316941E-2"/>
    <m/>
    <m/>
    <m/>
  </r>
  <r>
    <s v="POST-60044"/>
    <x v="1"/>
    <d v="2025-02-25T00:00:00"/>
    <x v="2"/>
    <n v="105049"/>
    <n v="62960"/>
    <n v="3277"/>
    <n v="753"/>
    <n v="200"/>
    <n v="4.0266923054955307E-2"/>
    <n v="6.72"/>
    <n v="4.0266923054955307E-2"/>
    <m/>
    <m/>
    <m/>
  </r>
  <r>
    <s v="POST-60045"/>
    <x v="1"/>
    <d v="2025-07-13T00:00:00"/>
    <x v="2"/>
    <n v="29553"/>
    <n v="16717"/>
    <n v="1298"/>
    <n v="96"/>
    <n v="129"/>
    <n v="5.1534531181267551E-2"/>
    <n v="9.11"/>
    <n v="5.1534531181267551E-2"/>
    <m/>
    <m/>
    <m/>
  </r>
  <r>
    <s v="POST-60046"/>
    <x v="2"/>
    <d v="2024-10-23T00:00:00"/>
    <x v="2"/>
    <n v="58726"/>
    <n v="49490"/>
    <n v="634"/>
    <n v="70"/>
    <n v="706"/>
    <n v="2.4009808262098559E-2"/>
    <n v="2.85"/>
    <n v="2.4009808262098559E-2"/>
    <m/>
    <m/>
    <m/>
  </r>
  <r>
    <s v="POST-60047"/>
    <x v="3"/>
    <d v="2025-11-11T00:00:00"/>
    <x v="3"/>
    <n v="117780"/>
    <n v="53877"/>
    <n v="4497"/>
    <n v="412"/>
    <n v="1324"/>
    <n v="5.2920699609441332E-2"/>
    <n v="11.57"/>
    <n v="5.2920699609441332E-2"/>
    <m/>
    <m/>
    <m/>
  </r>
  <r>
    <s v="POST-60048"/>
    <x v="3"/>
    <d v="2024-12-03T00:00:00"/>
    <x v="3"/>
    <n v="457636"/>
    <n v="222209"/>
    <n v="17827"/>
    <n v="2665"/>
    <n v="9391"/>
    <n v="6.5298621611936128E-2"/>
    <n v="13.45"/>
    <n v="6.5298621611936128E-2"/>
    <m/>
    <m/>
    <m/>
  </r>
  <r>
    <s v="POST-60049"/>
    <x v="2"/>
    <d v="2025-09-17T00:00:00"/>
    <x v="1"/>
    <n v="13316"/>
    <n v="10584"/>
    <n v="223"/>
    <n v="53"/>
    <n v="99"/>
    <n v="2.8161610093121056E-2"/>
    <n v="3.54"/>
    <n v="2.8161610093121056E-2"/>
    <m/>
    <m/>
    <m/>
  </r>
  <r>
    <s v="POST-60050"/>
    <x v="4"/>
    <d v="2025-10-09T00:00:00"/>
    <x v="1"/>
    <n v="8646"/>
    <n v="6027"/>
    <n v="352"/>
    <n v="138"/>
    <n v="88"/>
    <n v="6.6851723340272964E-2"/>
    <n v="9.59"/>
    <n v="6.6851723340272964E-2"/>
    <m/>
    <m/>
    <m/>
  </r>
  <r>
    <s v="POST-60051"/>
    <x v="1"/>
    <d v="2025-07-29T00:00:00"/>
    <x v="1"/>
    <n v="13675"/>
    <n v="7920"/>
    <n v="168"/>
    <n v="41"/>
    <n v="8"/>
    <n v="1.5868372943327238E-2"/>
    <n v="2.74"/>
    <n v="1.5868372943327238E-2"/>
    <m/>
    <m/>
    <m/>
  </r>
  <r>
    <s v="POST-60052"/>
    <x v="2"/>
    <d v="2024-06-02T00:00:00"/>
    <x v="2"/>
    <n v="48287"/>
    <n v="41966"/>
    <n v="528"/>
    <n v="282"/>
    <n v="724"/>
    <n v="3.1768384865491744E-2"/>
    <n v="3.66"/>
    <n v="3.1768384865491744E-2"/>
    <m/>
    <m/>
    <m/>
  </r>
  <r>
    <s v="POST-60053"/>
    <x v="1"/>
    <d v="2025-03-14T00:00:00"/>
    <x v="3"/>
    <n v="117992"/>
    <n v="57025"/>
    <n v="2223"/>
    <n v="246"/>
    <n v="506"/>
    <n v="2.5213573801613667E-2"/>
    <n v="5.22"/>
    <n v="2.5213573801613667E-2"/>
    <m/>
    <m/>
    <m/>
  </r>
  <r>
    <s v="POST-60054"/>
    <x v="3"/>
    <d v="2025-07-01T00:00:00"/>
    <x v="3"/>
    <n v="506642"/>
    <n v="174546"/>
    <n v="6615"/>
    <n v="4959"/>
    <n v="4706"/>
    <n v="3.2133143324082881E-2"/>
    <n v="9.33"/>
    <n v="3.2133143324082881E-2"/>
    <m/>
    <m/>
    <m/>
  </r>
  <r>
    <s v="POST-60055"/>
    <x v="1"/>
    <d v="2024-08-25T00:00:00"/>
    <x v="4"/>
    <n v="69218"/>
    <n v="32641"/>
    <n v="2526"/>
    <n v="238"/>
    <n v="142"/>
    <n v="4.1983299141841721E-2"/>
    <n v="8.9"/>
    <n v="4.1983299141841721E-2"/>
    <m/>
    <m/>
    <m/>
  </r>
  <r>
    <s v="POST-60056"/>
    <x v="4"/>
    <d v="2025-05-25T00:00:00"/>
    <x v="4"/>
    <n v="14531"/>
    <n v="8760"/>
    <n v="299"/>
    <n v="123"/>
    <n v="119"/>
    <n v="3.723074805588053E-2"/>
    <n v="6.18"/>
    <n v="3.723074805588053E-2"/>
    <m/>
    <m/>
    <m/>
  </r>
  <r>
    <s v="POST-60057"/>
    <x v="1"/>
    <d v="2025-09-23T00:00:00"/>
    <x v="3"/>
    <n v="8393"/>
    <n v="4428"/>
    <n v="318"/>
    <n v="23"/>
    <n v="9"/>
    <n v="4.1701417848206836E-2"/>
    <n v="7.9"/>
    <n v="4.1701417848206836E-2"/>
    <m/>
    <m/>
    <m/>
  </r>
  <r>
    <s v="POST-60058"/>
    <x v="1"/>
    <d v="2024-01-02T00:00:00"/>
    <x v="4"/>
    <n v="77758"/>
    <n v="53039"/>
    <n v="4006"/>
    <n v="345"/>
    <n v="272"/>
    <n v="5.9453689652511639E-2"/>
    <n v="8.7200000000000006"/>
    <n v="5.9453689652511639E-2"/>
    <m/>
    <m/>
    <m/>
  </r>
  <r>
    <s v="POST-60059"/>
    <x v="2"/>
    <d v="2025-12-15T00:00:00"/>
    <x v="0"/>
    <n v="5028"/>
    <n v="3861"/>
    <n v="103"/>
    <n v="29"/>
    <n v="12"/>
    <n v="2.8639618138424822E-2"/>
    <n v="3.73"/>
    <n v="2.8639618138424822E-2"/>
    <m/>
    <m/>
    <m/>
  </r>
  <r>
    <s v="POST-60060"/>
    <x v="3"/>
    <d v="2025-10-27T00:00:00"/>
    <x v="2"/>
    <n v="168937"/>
    <n v="114463"/>
    <n v="9826"/>
    <n v="1326"/>
    <n v="4902"/>
    <n v="9.5029508041459237E-2"/>
    <n v="14.03"/>
    <n v="9.5029508041459237E-2"/>
    <m/>
    <m/>
    <m/>
  </r>
  <r>
    <s v="POST-60061"/>
    <x v="1"/>
    <d v="2025-06-15T00:00:00"/>
    <x v="2"/>
    <n v="93930"/>
    <n v="59514"/>
    <n v="3659"/>
    <n v="610"/>
    <n v="342"/>
    <n v="4.9089747684445864E-2"/>
    <n v="7.75"/>
    <n v="4.9089747684445864E-2"/>
    <m/>
    <m/>
    <m/>
  </r>
  <r>
    <s v="POST-60062"/>
    <x v="1"/>
    <d v="2025-02-08T00:00:00"/>
    <x v="4"/>
    <n v="5838"/>
    <n v="4002"/>
    <n v="204"/>
    <n v="10"/>
    <n v="26"/>
    <n v="4.1109969167523124E-2"/>
    <n v="6"/>
    <n v="4.1109969167523124E-2"/>
    <m/>
    <m/>
    <m/>
  </r>
  <r>
    <s v="POST-60063"/>
    <x v="1"/>
    <d v="2024-07-08T00:00:00"/>
    <x v="4"/>
    <n v="37520"/>
    <n v="22934"/>
    <n v="1461"/>
    <n v="213"/>
    <n v="55"/>
    <n v="4.6082089552238803E-2"/>
    <n v="7.54"/>
    <n v="4.6082089552238803E-2"/>
    <m/>
    <m/>
    <m/>
  </r>
  <r>
    <s v="POST-60064"/>
    <x v="3"/>
    <d v="2024-03-29T00:00:00"/>
    <x v="3"/>
    <n v="71516"/>
    <n v="27664"/>
    <n v="3172"/>
    <n v="660"/>
    <n v="436"/>
    <n v="5.9678952961575035E-2"/>
    <n v="15.43"/>
    <n v="5.9678952961575035E-2"/>
    <m/>
    <m/>
    <m/>
  </r>
  <r>
    <s v="POST-60065"/>
    <x v="3"/>
    <d v="2025-05-21T00:00:00"/>
    <x v="2"/>
    <n v="299132"/>
    <n v="161505"/>
    <n v="7593"/>
    <n v="4816"/>
    <n v="6033"/>
    <n v="6.1651712287551987E-2"/>
    <n v="11.42"/>
    <n v="6.1651712287551987E-2"/>
    <m/>
    <m/>
    <m/>
  </r>
  <r>
    <s v="POST-60066"/>
    <x v="2"/>
    <d v="2025-11-01T00:00:00"/>
    <x v="0"/>
    <n v="8127"/>
    <n v="5127"/>
    <n v="50"/>
    <n v="10"/>
    <n v="43"/>
    <n v="1.267380337147779E-2"/>
    <n v="2.0099999999999998"/>
    <n v="1.267380337147779E-2"/>
    <m/>
    <m/>
    <m/>
  </r>
  <r>
    <s v="POST-60067"/>
    <x v="3"/>
    <d v="2024-07-12T00:00:00"/>
    <x v="2"/>
    <n v="407702"/>
    <n v="147642"/>
    <n v="12661"/>
    <n v="1316"/>
    <n v="6009"/>
    <n v="4.9021098743690247E-2"/>
    <n v="13.54"/>
    <n v="4.9021098743690247E-2"/>
    <m/>
    <m/>
    <m/>
  </r>
  <r>
    <s v="POST-60068"/>
    <x v="3"/>
    <d v="2025-01-11T00:00:00"/>
    <x v="3"/>
    <n v="535523"/>
    <n v="341530"/>
    <n v="38740"/>
    <n v="3884"/>
    <n v="4175"/>
    <n v="8.7389337152652638E-2"/>
    <n v="13.7"/>
    <n v="8.7389337152652638E-2"/>
    <m/>
    <m/>
    <m/>
  </r>
  <r>
    <s v="POST-60069"/>
    <x v="4"/>
    <d v="2025-04-16T00:00:00"/>
    <x v="2"/>
    <n v="15843"/>
    <n v="11545"/>
    <n v="269"/>
    <n v="263"/>
    <n v="53"/>
    <n v="3.692482484377959E-2"/>
    <n v="5.07"/>
    <n v="3.692482484377959E-2"/>
    <m/>
    <m/>
    <m/>
  </r>
  <r>
    <s v="POST-60070"/>
    <x v="2"/>
    <d v="2025-07-02T00:00:00"/>
    <x v="1"/>
    <n v="11965"/>
    <n v="10699"/>
    <n v="275"/>
    <n v="46"/>
    <n v="197"/>
    <n v="4.3292937735060592E-2"/>
    <n v="4.84"/>
    <n v="4.3292937735060592E-2"/>
    <m/>
    <m/>
    <m/>
  </r>
  <r>
    <s v="POST-60071"/>
    <x v="4"/>
    <d v="2025-04-06T00:00:00"/>
    <x v="0"/>
    <n v="11571"/>
    <n v="6047"/>
    <n v="288"/>
    <n v="49"/>
    <n v="37"/>
    <n v="3.2322184772275518E-2"/>
    <n v="6.18"/>
    <n v="3.2322184772275518E-2"/>
    <m/>
    <m/>
    <m/>
  </r>
  <r>
    <s v="POST-60072"/>
    <x v="0"/>
    <d v="2024-11-25T00:00:00"/>
    <x v="2"/>
    <n v="15181"/>
    <n v="6189"/>
    <n v="90"/>
    <n v="103"/>
    <n v="156"/>
    <n v="2.2989262894407482E-2"/>
    <n v="5.64"/>
    <n v="2.2989262894407482E-2"/>
    <m/>
    <m/>
    <m/>
  </r>
  <r>
    <s v="POST-60073"/>
    <x v="0"/>
    <d v="2024-01-29T00:00:00"/>
    <x v="4"/>
    <n v="5673"/>
    <n v="3035"/>
    <n v="54"/>
    <n v="12"/>
    <n v="27"/>
    <n v="1.6393442622950821E-2"/>
    <n v="3.06"/>
    <n v="1.6393442622950821E-2"/>
    <m/>
    <m/>
    <m/>
  </r>
  <r>
    <s v="POST-60074"/>
    <x v="3"/>
    <d v="2024-09-26T00:00:00"/>
    <x v="3"/>
    <n v="262599"/>
    <n v="95367"/>
    <n v="6417"/>
    <n v="2040"/>
    <n v="4153"/>
    <n v="4.8019984843811286E-2"/>
    <n v="13.22"/>
    <n v="4.8019984843811286E-2"/>
    <m/>
    <m/>
    <m/>
  </r>
  <r>
    <s v="POST-60075"/>
    <x v="2"/>
    <d v="2024-09-07T00:00:00"/>
    <x v="1"/>
    <n v="12143"/>
    <n v="9572"/>
    <n v="258"/>
    <n v="64"/>
    <n v="64"/>
    <n v="3.1787861319278597E-2"/>
    <n v="4.03"/>
    <n v="3.1787861319278597E-2"/>
    <m/>
    <m/>
    <m/>
  </r>
  <r>
    <s v="POST-60076"/>
    <x v="3"/>
    <d v="2024-09-03T00:00:00"/>
    <x v="3"/>
    <n v="358986"/>
    <n v="121792"/>
    <n v="12616"/>
    <n v="1536"/>
    <n v="3892"/>
    <n v="5.0263798588245784E-2"/>
    <n v="14.82"/>
    <n v="5.0263798588245784E-2"/>
    <m/>
    <m/>
    <m/>
  </r>
  <r>
    <s v="POST-60077"/>
    <x v="0"/>
    <d v="2024-04-10T00:00:00"/>
    <x v="1"/>
    <n v="12649"/>
    <n v="4990"/>
    <n v="212"/>
    <n v="24"/>
    <n v="37"/>
    <n v="2.1582733812949641E-2"/>
    <n v="5.47"/>
    <n v="2.1582733812949641E-2"/>
    <m/>
    <m/>
    <m/>
  </r>
  <r>
    <s v="POST-60078"/>
    <x v="1"/>
    <d v="2025-04-01T00:00:00"/>
    <x v="3"/>
    <n v="92618"/>
    <n v="58170"/>
    <n v="4526"/>
    <n v="868"/>
    <n v="347"/>
    <n v="6.1985791098922459E-2"/>
    <n v="9.8699999999999992"/>
    <n v="6.1985791098922459E-2"/>
    <m/>
    <m/>
    <m/>
  </r>
  <r>
    <s v="POST-60079"/>
    <x v="2"/>
    <d v="2024-06-11T00:00:00"/>
    <x v="2"/>
    <n v="49374"/>
    <n v="41354"/>
    <n v="251"/>
    <n v="250"/>
    <n v="595"/>
    <n v="2.219791793251509E-2"/>
    <n v="2.65"/>
    <n v="2.219791793251509E-2"/>
    <m/>
    <m/>
    <m/>
  </r>
  <r>
    <s v="POST-60080"/>
    <x v="4"/>
    <d v="2025-01-23T00:00:00"/>
    <x v="2"/>
    <n v="36161"/>
    <n v="22731"/>
    <n v="1346"/>
    <n v="473"/>
    <n v="253"/>
    <n v="5.7299300351207103E-2"/>
    <n v="9.1199999999999992"/>
    <n v="5.7299300351207103E-2"/>
    <m/>
    <m/>
    <m/>
  </r>
  <r>
    <s v="POST-60081"/>
    <x v="2"/>
    <d v="2024-01-17T00:00:00"/>
    <x v="2"/>
    <n v="70967"/>
    <n v="61447"/>
    <n v="1623"/>
    <n v="138"/>
    <n v="1036"/>
    <n v="3.9412684768977128E-2"/>
    <n v="4.55"/>
    <n v="3.9412684768977128E-2"/>
    <m/>
    <m/>
    <m/>
  </r>
  <r>
    <s v="POST-60082"/>
    <x v="0"/>
    <d v="2025-03-24T00:00:00"/>
    <x v="1"/>
    <n v="21460"/>
    <n v="12765"/>
    <n v="573"/>
    <n v="242"/>
    <n v="64"/>
    <n v="4.0959925442684064E-2"/>
    <n v="6.89"/>
    <n v="4.0959925442684064E-2"/>
    <m/>
    <m/>
    <m/>
  </r>
  <r>
    <s v="POST-60083"/>
    <x v="0"/>
    <d v="2025-02-25T00:00:00"/>
    <x v="2"/>
    <n v="50767"/>
    <n v="17586"/>
    <n v="337"/>
    <n v="281"/>
    <n v="435"/>
    <n v="2.0741820473929914E-2"/>
    <n v="5.99"/>
    <n v="2.0741820473929914E-2"/>
    <m/>
    <m/>
    <m/>
  </r>
  <r>
    <s v="POST-60084"/>
    <x v="4"/>
    <d v="2024-08-19T00:00:00"/>
    <x v="4"/>
    <n v="9624"/>
    <n v="6496"/>
    <n v="165"/>
    <n v="56"/>
    <n v="58"/>
    <n v="2.8990024937655859E-2"/>
    <n v="4.29"/>
    <n v="2.8990024937655859E-2"/>
    <m/>
    <m/>
    <m/>
  </r>
  <r>
    <s v="POST-60085"/>
    <x v="2"/>
    <d v="2024-12-09T00:00:00"/>
    <x v="2"/>
    <n v="50240"/>
    <n v="38491"/>
    <n v="836"/>
    <n v="168"/>
    <n v="463"/>
    <n v="2.9199840764331211E-2"/>
    <n v="3.81"/>
    <n v="2.9199840764331211E-2"/>
    <m/>
    <m/>
    <m/>
  </r>
  <r>
    <s v="POST-60086"/>
    <x v="1"/>
    <d v="2024-06-07T00:00:00"/>
    <x v="1"/>
    <n v="17356"/>
    <n v="10644"/>
    <n v="477"/>
    <n v="126"/>
    <n v="65"/>
    <n v="3.8488130905738646E-2"/>
    <n v="6.28"/>
    <n v="3.8488130905738646E-2"/>
    <m/>
    <m/>
    <m/>
  </r>
  <r>
    <s v="POST-60087"/>
    <x v="4"/>
    <d v="2024-08-20T00:00:00"/>
    <x v="0"/>
    <n v="5440"/>
    <n v="4035"/>
    <n v="103"/>
    <n v="98"/>
    <n v="34"/>
    <n v="4.3198529411764705E-2"/>
    <n v="5.82"/>
    <n v="4.3198529411764705E-2"/>
    <m/>
    <m/>
    <m/>
  </r>
  <r>
    <s v="POST-60088"/>
    <x v="1"/>
    <d v="2024-03-28T00:00:00"/>
    <x v="4"/>
    <n v="68920"/>
    <n v="34748"/>
    <n v="2339"/>
    <n v="434"/>
    <n v="36"/>
    <n v="4.0757399883923393E-2"/>
    <n v="8.08"/>
    <n v="4.0757399883923393E-2"/>
    <m/>
    <m/>
    <m/>
  </r>
  <r>
    <s v="POST-60089"/>
    <x v="4"/>
    <d v="2024-08-13T00:00:00"/>
    <x v="0"/>
    <n v="19972"/>
    <n v="13031"/>
    <n v="383"/>
    <n v="276"/>
    <n v="135"/>
    <n v="3.9755657921089524E-2"/>
    <n v="6.09"/>
    <n v="3.9755657921089524E-2"/>
    <m/>
    <m/>
    <m/>
  </r>
  <r>
    <s v="POST-60090"/>
    <x v="3"/>
    <d v="2024-05-26T00:00:00"/>
    <x v="2"/>
    <n v="108139"/>
    <n v="43173"/>
    <n v="3561"/>
    <n v="848"/>
    <n v="1411"/>
    <n v="5.3819621043286879E-2"/>
    <n v="13.48"/>
    <n v="5.3819621043286879E-2"/>
    <m/>
    <m/>
    <m/>
  </r>
  <r>
    <s v="POST-60091"/>
    <x v="2"/>
    <d v="2024-10-19T00:00:00"/>
    <x v="1"/>
    <n v="22108"/>
    <n v="18514"/>
    <n v="138"/>
    <n v="80"/>
    <n v="329"/>
    <n v="2.4742174778360774E-2"/>
    <n v="2.95"/>
    <n v="2.4742174778360774E-2"/>
    <m/>
    <m/>
    <m/>
  </r>
  <r>
    <s v="POST-60092"/>
    <x v="0"/>
    <d v="2024-06-16T00:00:00"/>
    <x v="0"/>
    <n v="16372"/>
    <n v="9996"/>
    <n v="372"/>
    <n v="58"/>
    <n v="61"/>
    <n v="2.9990227217200099E-2"/>
    <n v="4.91"/>
    <n v="2.9990227217200099E-2"/>
    <m/>
    <m/>
    <m/>
  </r>
  <r>
    <s v="POST-60093"/>
    <x v="1"/>
    <d v="2025-05-29T00:00:00"/>
    <x v="2"/>
    <n v="108397"/>
    <n v="45181"/>
    <n v="2296"/>
    <n v="626"/>
    <n v="421"/>
    <n v="3.0840336909693074E-2"/>
    <n v="7.4"/>
    <n v="3.0840336909693074E-2"/>
    <m/>
    <m/>
    <m/>
  </r>
  <r>
    <s v="POST-60094"/>
    <x v="4"/>
    <d v="2024-09-13T00:00:00"/>
    <x v="1"/>
    <n v="16567"/>
    <n v="12618"/>
    <n v="349"/>
    <n v="104"/>
    <n v="139"/>
    <n v="3.5733687450956723E-2"/>
    <n v="4.6900000000000004"/>
    <n v="3.5733687450956723E-2"/>
    <m/>
    <m/>
    <m/>
  </r>
  <r>
    <s v="POST-60095"/>
    <x v="3"/>
    <d v="2024-09-28T00:00:00"/>
    <x v="3"/>
    <n v="96621"/>
    <n v="45052"/>
    <n v="4307"/>
    <n v="1057"/>
    <n v="849"/>
    <n v="6.4302791318657432E-2"/>
    <n v="13.79"/>
    <n v="6.4302791318657432E-2"/>
    <m/>
    <m/>
    <m/>
  </r>
  <r>
    <s v="POST-60096"/>
    <x v="3"/>
    <d v="2024-03-07T00:00:00"/>
    <x v="2"/>
    <n v="296961"/>
    <n v="112674"/>
    <n v="12300"/>
    <n v="3354"/>
    <n v="3770"/>
    <n v="6.5409262495748605E-2"/>
    <n v="17.239999999999998"/>
    <n v="6.5409262495748605E-2"/>
    <m/>
    <m/>
    <m/>
  </r>
  <r>
    <s v="POST-60097"/>
    <x v="3"/>
    <d v="2025-07-06T00:00:00"/>
    <x v="2"/>
    <n v="119866"/>
    <n v="69857"/>
    <n v="6445"/>
    <n v="892"/>
    <n v="919"/>
    <n v="6.8876912552350122E-2"/>
    <n v="11.82"/>
    <n v="6.8876912552350122E-2"/>
    <m/>
    <m/>
    <m/>
  </r>
  <r>
    <s v="POST-60098"/>
    <x v="1"/>
    <d v="2024-11-19T00:00:00"/>
    <x v="1"/>
    <n v="33648"/>
    <n v="13791"/>
    <n v="1062"/>
    <n v="30"/>
    <n v="110"/>
    <n v="3.5722776985259157E-2"/>
    <n v="8.7200000000000006"/>
    <n v="3.5722776985259157E-2"/>
    <m/>
    <m/>
    <m/>
  </r>
  <r>
    <s v="POST-60099"/>
    <x v="1"/>
    <d v="2024-12-11T00:00:00"/>
    <x v="2"/>
    <n v="77225"/>
    <n v="48408"/>
    <n v="1691"/>
    <n v="561"/>
    <n v="407"/>
    <n v="3.4431854969245709E-2"/>
    <n v="5.49"/>
    <n v="3.4431854969245709E-2"/>
    <m/>
    <m/>
    <m/>
  </r>
  <r>
    <s v="POST-60100"/>
    <x v="2"/>
    <d v="2024-01-18T00:00:00"/>
    <x v="1"/>
    <n v="730"/>
    <n v="373"/>
    <n v="10"/>
    <n v="1"/>
    <n v="6"/>
    <n v="2.3287671232876714E-2"/>
    <n v="4.5599999999999996"/>
    <n v="2.3287671232876714E-2"/>
    <m/>
    <m/>
    <m/>
  </r>
  <r>
    <s v="POST-60101"/>
    <x v="3"/>
    <d v="2024-09-03T00:00:00"/>
    <x v="2"/>
    <n v="302206"/>
    <n v="106795"/>
    <n v="4379"/>
    <n v="816"/>
    <n v="3171"/>
    <n v="2.7683103578353838E-2"/>
    <n v="7.83"/>
    <n v="2.7683103578353838E-2"/>
    <m/>
    <m/>
    <m/>
  </r>
  <r>
    <s v="POST-60102"/>
    <x v="3"/>
    <d v="2025-04-21T00:00:00"/>
    <x v="2"/>
    <n v="543651"/>
    <n v="205850"/>
    <n v="6711"/>
    <n v="4743"/>
    <n v="10070"/>
    <n v="3.959157621341633E-2"/>
    <n v="10.46"/>
    <n v="3.959157621341633E-2"/>
    <m/>
    <m/>
    <m/>
  </r>
  <r>
    <s v="POST-60103"/>
    <x v="4"/>
    <d v="2025-06-30T00:00:00"/>
    <x v="1"/>
    <n v="11879"/>
    <n v="5122"/>
    <n v="249"/>
    <n v="90"/>
    <n v="30"/>
    <n v="3.1063220809832478E-2"/>
    <n v="7.2"/>
    <n v="3.1063220809832478E-2"/>
    <m/>
    <m/>
    <m/>
  </r>
  <r>
    <s v="POST-60104"/>
    <x v="1"/>
    <d v="2025-12-11T00:00:00"/>
    <x v="2"/>
    <n v="42983"/>
    <n v="19797"/>
    <n v="673"/>
    <n v="154"/>
    <n v="68"/>
    <n v="2.0822185515203685E-2"/>
    <n v="4.5199999999999996"/>
    <n v="2.0822185515203685E-2"/>
    <m/>
    <m/>
    <m/>
  </r>
  <r>
    <s v="POST-60105"/>
    <x v="4"/>
    <d v="2025-07-22T00:00:00"/>
    <x v="2"/>
    <n v="5423"/>
    <n v="3771"/>
    <n v="221"/>
    <n v="71"/>
    <n v="53"/>
    <n v="6.3617923658491615E-2"/>
    <n v="9.15"/>
    <n v="6.3617923658491615E-2"/>
    <m/>
    <m/>
    <m/>
  </r>
  <r>
    <s v="POST-60106"/>
    <x v="1"/>
    <d v="2024-02-11T00:00:00"/>
    <x v="1"/>
    <n v="27596"/>
    <n v="16651"/>
    <n v="1185"/>
    <n v="71"/>
    <n v="90"/>
    <n v="4.8775184809392663E-2"/>
    <n v="8.08"/>
    <n v="4.8775184809392663E-2"/>
    <m/>
    <m/>
    <m/>
  </r>
  <r>
    <s v="POST-60107"/>
    <x v="3"/>
    <d v="2024-12-01T00:00:00"/>
    <x v="2"/>
    <n v="175808"/>
    <n v="61551"/>
    <n v="3980"/>
    <n v="950"/>
    <n v="2381"/>
    <n v="4.1585138332726611E-2"/>
    <n v="11.88"/>
    <n v="4.1585138332726611E-2"/>
    <m/>
    <m/>
    <m/>
  </r>
  <r>
    <s v="POST-60108"/>
    <x v="1"/>
    <d v="2025-01-20T00:00:00"/>
    <x v="3"/>
    <n v="49085"/>
    <n v="21307"/>
    <n v="817"/>
    <n v="259"/>
    <n v="178"/>
    <n v="2.5547519608841805E-2"/>
    <n v="5.89"/>
    <n v="2.5547519608841805E-2"/>
    <m/>
    <m/>
    <m/>
  </r>
  <r>
    <s v="POST-60109"/>
    <x v="1"/>
    <d v="2025-09-19T00:00:00"/>
    <x v="2"/>
    <n v="32982"/>
    <n v="18147"/>
    <n v="1001"/>
    <n v="187"/>
    <n v="159"/>
    <n v="4.084045843187193E-2"/>
    <n v="7.42"/>
    <n v="4.084045843187193E-2"/>
    <m/>
    <m/>
    <m/>
  </r>
  <r>
    <s v="POST-60110"/>
    <x v="1"/>
    <d v="2024-08-20T00:00:00"/>
    <x v="3"/>
    <n v="36143"/>
    <n v="17997"/>
    <n v="645"/>
    <n v="44"/>
    <n v="131"/>
    <n v="2.2687657361038099E-2"/>
    <n v="4.5599999999999996"/>
    <n v="2.2687657361038099E-2"/>
    <m/>
    <m/>
    <m/>
  </r>
  <r>
    <s v="POST-60111"/>
    <x v="0"/>
    <d v="2025-04-08T00:00:00"/>
    <x v="4"/>
    <n v="26260"/>
    <n v="17369"/>
    <n v="250"/>
    <n v="343"/>
    <n v="159"/>
    <n v="2.8636709824828636E-2"/>
    <n v="4.33"/>
    <n v="2.8636709824828636E-2"/>
    <m/>
    <m/>
    <m/>
  </r>
  <r>
    <s v="POST-60112"/>
    <x v="3"/>
    <d v="2025-09-17T00:00:00"/>
    <x v="3"/>
    <n v="380871"/>
    <n v="249854"/>
    <n v="26712"/>
    <n v="4443"/>
    <n v="10913"/>
    <n v="0.11045209532886463"/>
    <n v="16.84"/>
    <n v="0.11045209532886463"/>
    <m/>
    <m/>
    <m/>
  </r>
  <r>
    <s v="POST-60113"/>
    <x v="0"/>
    <d v="2025-05-31T00:00:00"/>
    <x v="0"/>
    <n v="8059"/>
    <n v="5232"/>
    <n v="140"/>
    <n v="62"/>
    <n v="132"/>
    <n v="4.1444347933986846E-2"/>
    <n v="6.38"/>
    <n v="4.1444347933986846E-2"/>
    <m/>
    <m/>
    <m/>
  </r>
  <r>
    <s v="POST-60114"/>
    <x v="2"/>
    <d v="2024-05-30T00:00:00"/>
    <x v="0"/>
    <n v="5867"/>
    <n v="4500"/>
    <n v="57"/>
    <n v="11"/>
    <n v="73"/>
    <n v="2.4032725413328789E-2"/>
    <n v="3.13"/>
    <n v="2.4032725413328789E-2"/>
    <m/>
    <m/>
    <m/>
  </r>
  <r>
    <s v="POST-60115"/>
    <x v="3"/>
    <d v="2025-01-25T00:00:00"/>
    <x v="3"/>
    <n v="257439"/>
    <n v="156287"/>
    <n v="17587"/>
    <n v="3960"/>
    <n v="1772"/>
    <n v="9.0580681248761841E-2"/>
    <n v="14.92"/>
    <n v="9.0580681248761841E-2"/>
    <m/>
    <m/>
    <m/>
  </r>
  <r>
    <s v="POST-60116"/>
    <x v="3"/>
    <d v="2024-03-31T00:00:00"/>
    <x v="3"/>
    <n v="280763"/>
    <n v="124724"/>
    <n v="6383"/>
    <n v="1762"/>
    <n v="3138"/>
    <n v="4.0186919216563435E-2"/>
    <n v="9.0500000000000007"/>
    <n v="4.0186919216563435E-2"/>
    <m/>
    <m/>
    <m/>
  </r>
  <r>
    <s v="POST-60117"/>
    <x v="2"/>
    <d v="2025-09-01T00:00:00"/>
    <x v="2"/>
    <n v="29237"/>
    <n v="21836"/>
    <n v="581"/>
    <n v="110"/>
    <n v="190"/>
    <n v="3.013305058658549E-2"/>
    <n v="4.03"/>
    <n v="3.013305058658549E-2"/>
    <m/>
    <m/>
    <m/>
  </r>
  <r>
    <s v="POST-60118"/>
    <x v="0"/>
    <d v="2024-01-18T00:00:00"/>
    <x v="0"/>
    <n v="7249"/>
    <n v="4321"/>
    <n v="145"/>
    <n v="56"/>
    <n v="95"/>
    <n v="4.0833218374948271E-2"/>
    <n v="6.85"/>
    <n v="4.0833218374948271E-2"/>
    <m/>
    <m/>
    <m/>
  </r>
  <r>
    <s v="POST-60119"/>
    <x v="4"/>
    <d v="2024-06-24T00:00:00"/>
    <x v="4"/>
    <n v="424"/>
    <n v="266"/>
    <n v="11"/>
    <n v="2"/>
    <n v="3"/>
    <n v="3.7735849056603772E-2"/>
    <n v="6.02"/>
    <n v="3.7735849056603772E-2"/>
    <m/>
    <m/>
    <m/>
  </r>
  <r>
    <s v="POST-60120"/>
    <x v="3"/>
    <d v="2025-02-03T00:00:00"/>
    <x v="2"/>
    <n v="291125"/>
    <n v="91396"/>
    <n v="4316"/>
    <n v="1826"/>
    <n v="1395"/>
    <n v="2.5889222842421639E-2"/>
    <n v="8.25"/>
    <n v="2.5889222842421639E-2"/>
    <m/>
    <m/>
    <m/>
  </r>
  <r>
    <s v="POST-60121"/>
    <x v="0"/>
    <d v="2024-03-15T00:00:00"/>
    <x v="1"/>
    <n v="21641"/>
    <n v="12865"/>
    <n v="370"/>
    <n v="188"/>
    <n v="233"/>
    <n v="3.6550991174160156E-2"/>
    <n v="6.15"/>
    <n v="3.6550991174160156E-2"/>
    <m/>
    <m/>
    <m/>
  </r>
  <r>
    <s v="POST-60122"/>
    <x v="0"/>
    <d v="2024-12-17T00:00:00"/>
    <x v="0"/>
    <n v="20634"/>
    <n v="13640"/>
    <n v="631"/>
    <n v="183"/>
    <n v="195"/>
    <n v="4.8899873994378208E-2"/>
    <n v="7.4"/>
    <n v="4.8899873994378208E-2"/>
    <m/>
    <m/>
    <m/>
  </r>
  <r>
    <s v="POST-60123"/>
    <x v="3"/>
    <d v="2024-08-03T00:00:00"/>
    <x v="3"/>
    <n v="75797"/>
    <n v="46050"/>
    <n v="5250"/>
    <n v="887"/>
    <n v="628"/>
    <n v="8.9251553491562996E-2"/>
    <n v="14.69"/>
    <n v="8.9251553491562996E-2"/>
    <m/>
    <m/>
    <m/>
  </r>
  <r>
    <s v="POST-60124"/>
    <x v="1"/>
    <d v="2024-11-19T00:00:00"/>
    <x v="4"/>
    <n v="68263"/>
    <n v="30619"/>
    <n v="1958"/>
    <n v="353"/>
    <n v="216"/>
    <n v="3.7018589865666612E-2"/>
    <n v="8.25"/>
    <n v="3.7018589865666612E-2"/>
    <m/>
    <m/>
    <m/>
  </r>
  <r>
    <s v="POST-60125"/>
    <x v="2"/>
    <d v="2024-03-07T00:00:00"/>
    <x v="1"/>
    <n v="11209"/>
    <n v="9067"/>
    <n v="126"/>
    <n v="19"/>
    <n v="107"/>
    <n v="2.2481934160049961E-2"/>
    <n v="2.78"/>
    <n v="2.2481934160049961E-2"/>
    <m/>
    <m/>
    <m/>
  </r>
  <r>
    <s v="POST-60126"/>
    <x v="3"/>
    <d v="2024-12-17T00:00:00"/>
    <x v="2"/>
    <n v="23196"/>
    <n v="7460"/>
    <n v="333"/>
    <n v="134"/>
    <n v="295"/>
    <n v="3.2850491464045527E-2"/>
    <n v="10.210000000000001"/>
    <n v="3.2850491464045527E-2"/>
    <m/>
    <m/>
    <m/>
  </r>
  <r>
    <s v="POST-60127"/>
    <x v="1"/>
    <d v="2024-12-07T00:00:00"/>
    <x v="3"/>
    <n v="94201"/>
    <n v="59848"/>
    <n v="4419"/>
    <n v="348"/>
    <n v="219"/>
    <n v="5.2929374422776829E-2"/>
    <n v="8.33"/>
    <n v="5.2929374422776829E-2"/>
    <m/>
    <m/>
    <m/>
  </r>
  <r>
    <s v="POST-60128"/>
    <x v="3"/>
    <d v="2025-08-21T00:00:00"/>
    <x v="2"/>
    <n v="367485"/>
    <n v="118114"/>
    <n v="13007"/>
    <n v="2010"/>
    <n v="5699"/>
    <n v="5.6372368940228852E-2"/>
    <n v="17.54"/>
    <n v="5.6372368940228852E-2"/>
    <m/>
    <m/>
    <m/>
  </r>
  <r>
    <s v="POST-60129"/>
    <x v="0"/>
    <d v="2024-06-01T00:00:00"/>
    <x v="2"/>
    <n v="29086"/>
    <n v="14164"/>
    <n v="381"/>
    <n v="114"/>
    <n v="211"/>
    <n v="2.4272846042769719E-2"/>
    <n v="4.9800000000000004"/>
    <n v="2.4272846042769719E-2"/>
    <m/>
    <m/>
    <m/>
  </r>
  <r>
    <s v="POST-60130"/>
    <x v="3"/>
    <d v="2025-06-22T00:00:00"/>
    <x v="3"/>
    <n v="340086"/>
    <n v="198003"/>
    <n v="13799"/>
    <n v="1575"/>
    <n v="5883"/>
    <n v="6.2504778203160374E-2"/>
    <n v="10.74"/>
    <n v="6.2504778203160374E-2"/>
    <m/>
    <m/>
    <m/>
  </r>
  <r>
    <s v="POST-60131"/>
    <x v="4"/>
    <d v="2024-09-07T00:00:00"/>
    <x v="2"/>
    <n v="32142"/>
    <n v="17934"/>
    <n v="817"/>
    <n v="213"/>
    <n v="215"/>
    <n v="3.8734366249766658E-2"/>
    <n v="6.94"/>
    <n v="3.8734366249766658E-2"/>
    <m/>
    <m/>
    <m/>
  </r>
  <r>
    <s v="POST-60132"/>
    <x v="3"/>
    <d v="2024-02-23T00:00:00"/>
    <x v="3"/>
    <n v="30650"/>
    <n v="14347"/>
    <n v="899"/>
    <n v="289"/>
    <n v="194"/>
    <n v="4.5089722675367046E-2"/>
    <n v="9.6300000000000008"/>
    <n v="4.5089722675367046E-2"/>
    <m/>
    <m/>
    <m/>
  </r>
  <r>
    <s v="POST-60133"/>
    <x v="0"/>
    <d v="2024-05-03T00:00:00"/>
    <x v="4"/>
    <n v="27037"/>
    <n v="9717"/>
    <n v="154"/>
    <n v="146"/>
    <n v="220"/>
    <n v="1.9232903058771313E-2"/>
    <n v="5.35"/>
    <n v="1.9232903058771313E-2"/>
    <m/>
    <m/>
    <m/>
  </r>
  <r>
    <s v="POST-60134"/>
    <x v="1"/>
    <d v="2025-03-18T00:00:00"/>
    <x v="4"/>
    <n v="23100"/>
    <n v="10566"/>
    <n v="602"/>
    <n v="136"/>
    <n v="26"/>
    <n v="3.3073593073593074E-2"/>
    <n v="7.23"/>
    <n v="3.3073593073593074E-2"/>
    <m/>
    <m/>
    <m/>
  </r>
  <r>
    <s v="POST-60135"/>
    <x v="1"/>
    <d v="2024-12-24T00:00:00"/>
    <x v="3"/>
    <n v="16363"/>
    <n v="9124"/>
    <n v="429"/>
    <n v="91"/>
    <n v="81"/>
    <n v="3.6729206135794168E-2"/>
    <n v="6.59"/>
    <n v="3.6729206135794168E-2"/>
    <m/>
    <m/>
    <m/>
  </r>
  <r>
    <s v="POST-60136"/>
    <x v="3"/>
    <d v="2025-12-13T00:00:00"/>
    <x v="2"/>
    <n v="93162"/>
    <n v="41278"/>
    <n v="2618"/>
    <n v="802"/>
    <n v="1648"/>
    <n v="5.4399862604924756E-2"/>
    <n v="12.28"/>
    <n v="5.4399862604924756E-2"/>
    <m/>
    <m/>
    <m/>
  </r>
  <r>
    <s v="POST-60137"/>
    <x v="1"/>
    <d v="2024-10-06T00:00:00"/>
    <x v="2"/>
    <n v="75048"/>
    <n v="35482"/>
    <n v="1561"/>
    <n v="466"/>
    <n v="297"/>
    <n v="3.0966847884020893E-2"/>
    <n v="6.55"/>
    <n v="3.0966847884020893E-2"/>
    <m/>
    <m/>
    <m/>
  </r>
  <r>
    <s v="POST-60138"/>
    <x v="1"/>
    <d v="2025-06-10T00:00:00"/>
    <x v="4"/>
    <n v="44099"/>
    <n v="33605"/>
    <n v="2363"/>
    <n v="226"/>
    <n v="217"/>
    <n v="6.3629560761014989E-2"/>
    <n v="8.35"/>
    <n v="6.3629560761014989E-2"/>
    <m/>
    <m/>
    <m/>
  </r>
  <r>
    <s v="POST-60139"/>
    <x v="3"/>
    <d v="2024-06-29T00:00:00"/>
    <x v="3"/>
    <n v="239851"/>
    <n v="124623"/>
    <n v="9500"/>
    <n v="1981"/>
    <n v="4114"/>
    <n v="6.5019532960046034E-2"/>
    <n v="12.51"/>
    <n v="6.5019532960046034E-2"/>
    <m/>
    <m/>
    <m/>
  </r>
  <r>
    <s v="POST-60140"/>
    <x v="2"/>
    <d v="2024-09-09T00:00:00"/>
    <x v="1"/>
    <n v="18718"/>
    <n v="16040"/>
    <n v="189"/>
    <n v="56"/>
    <n v="137"/>
    <n v="2.0408163265306121E-2"/>
    <n v="2.38"/>
    <n v="2.0408163265306121E-2"/>
    <m/>
    <m/>
    <m/>
  </r>
  <r>
    <s v="POST-60141"/>
    <x v="1"/>
    <d v="2024-12-30T00:00:00"/>
    <x v="4"/>
    <n v="22710"/>
    <n v="16442"/>
    <n v="899"/>
    <n v="209"/>
    <n v="93"/>
    <n v="5.2884191985909289E-2"/>
    <n v="7.3"/>
    <n v="5.2884191985909289E-2"/>
    <m/>
    <m/>
    <m/>
  </r>
  <r>
    <s v="POST-60142"/>
    <x v="3"/>
    <d v="2025-06-27T00:00:00"/>
    <x v="2"/>
    <n v="334929"/>
    <n v="222057"/>
    <n v="14562"/>
    <n v="6577"/>
    <n v="7722"/>
    <n v="8.6170501807845842E-2"/>
    <n v="13"/>
    <n v="8.6170501807845842E-2"/>
    <m/>
    <m/>
    <m/>
  </r>
  <r>
    <s v="POST-60143"/>
    <x v="3"/>
    <d v="2024-06-14T00:00:00"/>
    <x v="2"/>
    <n v="116642"/>
    <n v="66958"/>
    <n v="3056"/>
    <n v="1891"/>
    <n v="2501"/>
    <n v="6.385350045438179E-2"/>
    <n v="11.12"/>
    <n v="6.385350045438179E-2"/>
    <m/>
    <m/>
    <m/>
  </r>
  <r>
    <s v="POST-60144"/>
    <x v="3"/>
    <d v="2025-01-24T00:00:00"/>
    <x v="3"/>
    <n v="343312"/>
    <n v="126762"/>
    <n v="4561"/>
    <n v="2281"/>
    <n v="3281"/>
    <n v="2.948629817775085E-2"/>
    <n v="7.99"/>
    <n v="2.948629817775085E-2"/>
    <m/>
    <m/>
    <m/>
  </r>
  <r>
    <s v="POST-60145"/>
    <x v="2"/>
    <d v="2025-07-20T00:00:00"/>
    <x v="0"/>
    <n v="15197"/>
    <n v="10245"/>
    <n v="111"/>
    <n v="65"/>
    <n v="105"/>
    <n v="1.8490491544383762E-2"/>
    <n v="2.74"/>
    <n v="1.8490491544383762E-2"/>
    <m/>
    <m/>
    <m/>
  </r>
  <r>
    <s v="POST-60146"/>
    <x v="3"/>
    <d v="2025-04-07T00:00:00"/>
    <x v="2"/>
    <n v="293856"/>
    <n v="123520"/>
    <n v="6174"/>
    <n v="1311"/>
    <n v="1917"/>
    <n v="3.1995262985952302E-2"/>
    <n v="7.61"/>
    <n v="3.1995262985952302E-2"/>
    <m/>
    <m/>
    <m/>
  </r>
  <r>
    <s v="POST-60147"/>
    <x v="1"/>
    <d v="2024-12-26T00:00:00"/>
    <x v="2"/>
    <n v="5511"/>
    <n v="2621"/>
    <n v="175"/>
    <n v="25"/>
    <n v="9"/>
    <n v="3.7924151696606789E-2"/>
    <n v="7.97"/>
    <n v="3.7924151696606789E-2"/>
    <m/>
    <m/>
    <m/>
  </r>
  <r>
    <s v="POST-60148"/>
    <x v="0"/>
    <d v="2025-08-07T00:00:00"/>
    <x v="1"/>
    <n v="27066"/>
    <n v="18125"/>
    <n v="364"/>
    <n v="293"/>
    <n v="456"/>
    <n v="4.1121702504987805E-2"/>
    <n v="6.14"/>
    <n v="4.1121702504987805E-2"/>
    <m/>
    <m/>
    <m/>
  </r>
  <r>
    <s v="POST-60149"/>
    <x v="0"/>
    <d v="2025-12-11T00:00:00"/>
    <x v="2"/>
    <n v="19890"/>
    <n v="12829"/>
    <n v="147"/>
    <n v="175"/>
    <n v="230"/>
    <n v="2.7752639517345398E-2"/>
    <n v="4.3"/>
    <n v="2.7752639517345398E-2"/>
    <m/>
    <m/>
    <m/>
  </r>
  <r>
    <s v="POST-60150"/>
    <x v="0"/>
    <d v="2024-06-24T00:00:00"/>
    <x v="1"/>
    <n v="25081"/>
    <n v="8094"/>
    <n v="155"/>
    <n v="161"/>
    <n v="189"/>
    <n v="2.013476336669192E-2"/>
    <n v="6.24"/>
    <n v="2.013476336669192E-2"/>
    <m/>
    <m/>
    <m/>
  </r>
  <r>
    <s v="POST-60151"/>
    <x v="1"/>
    <d v="2024-07-21T00:00:00"/>
    <x v="3"/>
    <n v="104239"/>
    <n v="49276"/>
    <n v="2773"/>
    <n v="500"/>
    <n v="483"/>
    <n v="3.603257897715826E-2"/>
    <n v="7.62"/>
    <n v="3.603257897715826E-2"/>
    <m/>
    <m/>
    <m/>
  </r>
  <r>
    <s v="POST-60152"/>
    <x v="3"/>
    <d v="2024-12-17T00:00:00"/>
    <x v="3"/>
    <n v="384927"/>
    <n v="135945"/>
    <n v="7052"/>
    <n v="2759"/>
    <n v="4351"/>
    <n v="3.6791391614513919E-2"/>
    <n v="10.42"/>
    <n v="3.6791391614513919E-2"/>
    <m/>
    <m/>
    <m/>
  </r>
  <r>
    <s v="POST-60153"/>
    <x v="0"/>
    <d v="2025-11-15T00:00:00"/>
    <x v="2"/>
    <n v="20119"/>
    <n v="13193"/>
    <n v="271"/>
    <n v="254"/>
    <n v="155"/>
    <n v="3.3798896565435659E-2"/>
    <n v="5.15"/>
    <n v="3.3798896565435659E-2"/>
    <m/>
    <m/>
    <m/>
  </r>
  <r>
    <s v="POST-60154"/>
    <x v="4"/>
    <d v="2025-08-29T00:00:00"/>
    <x v="0"/>
    <n v="3246"/>
    <n v="1680"/>
    <n v="39"/>
    <n v="16"/>
    <n v="14"/>
    <n v="2.1256931608133085E-2"/>
    <n v="4.1100000000000003"/>
    <n v="2.1256931608133085E-2"/>
    <m/>
    <m/>
    <m/>
  </r>
  <r>
    <s v="POST-60155"/>
    <x v="3"/>
    <d v="2024-07-16T00:00:00"/>
    <x v="3"/>
    <n v="30091"/>
    <n v="18661"/>
    <n v="1810"/>
    <n v="174"/>
    <n v="701"/>
    <n v="8.9229337675716988E-2"/>
    <n v="14.39"/>
    <n v="8.9229337675716988E-2"/>
    <m/>
    <m/>
    <m/>
  </r>
  <r>
    <s v="POST-60156"/>
    <x v="4"/>
    <d v="2025-09-20T00:00:00"/>
    <x v="0"/>
    <n v="11667"/>
    <n v="9170"/>
    <n v="448"/>
    <n v="211"/>
    <n v="67"/>
    <n v="6.222679352018514E-2"/>
    <n v="7.92"/>
    <n v="6.222679352018514E-2"/>
    <m/>
    <m/>
    <m/>
  </r>
  <r>
    <s v="POST-60157"/>
    <x v="3"/>
    <d v="2025-05-01T00:00:00"/>
    <x v="2"/>
    <n v="194808"/>
    <n v="132787"/>
    <n v="13497"/>
    <n v="2076"/>
    <n v="2239"/>
    <n v="9.1433616689253011E-2"/>
    <n v="13.41"/>
    <n v="9.1433616689253011E-2"/>
    <m/>
    <m/>
    <m/>
  </r>
  <r>
    <s v="POST-60158"/>
    <x v="3"/>
    <d v="2025-08-27T00:00:00"/>
    <x v="2"/>
    <n v="408495"/>
    <n v="221297"/>
    <n v="8945"/>
    <n v="1490"/>
    <n v="6381"/>
    <n v="4.1165742542748379E-2"/>
    <n v="7.6"/>
    <n v="4.1165742542748379E-2"/>
    <m/>
    <m/>
    <m/>
  </r>
  <r>
    <s v="POST-60159"/>
    <x v="1"/>
    <d v="2024-05-07T00:00:00"/>
    <x v="3"/>
    <n v="26303"/>
    <n v="16607"/>
    <n v="1319"/>
    <n v="207"/>
    <n v="60"/>
    <n v="6.0297304489982134E-2"/>
    <n v="9.5500000000000007"/>
    <n v="6.0297304489982134E-2"/>
    <m/>
    <m/>
    <m/>
  </r>
  <r>
    <s v="POST-60160"/>
    <x v="4"/>
    <d v="2024-06-27T00:00:00"/>
    <x v="4"/>
    <n v="11727"/>
    <n v="5198"/>
    <n v="254"/>
    <n v="119"/>
    <n v="37"/>
    <n v="3.4962053381086385E-2"/>
    <n v="7.89"/>
    <n v="3.4962053381086385E-2"/>
    <m/>
    <m/>
    <m/>
  </r>
  <r>
    <s v="POST-60161"/>
    <x v="2"/>
    <d v="2025-12-04T00:00:00"/>
    <x v="1"/>
    <n v="471"/>
    <n v="276"/>
    <n v="7"/>
    <n v="0"/>
    <n v="4"/>
    <n v="2.3354564755838639E-2"/>
    <n v="3.99"/>
    <n v="2.3354564755838639E-2"/>
    <m/>
    <m/>
    <m/>
  </r>
  <r>
    <s v="POST-60162"/>
    <x v="4"/>
    <d v="2024-01-01T00:00:00"/>
    <x v="4"/>
    <n v="20026"/>
    <n v="11416"/>
    <n v="469"/>
    <n v="208"/>
    <n v="165"/>
    <n v="4.2045341056626384E-2"/>
    <n v="7.38"/>
    <n v="4.2045341056626384E-2"/>
    <m/>
    <m/>
    <m/>
  </r>
  <r>
    <s v="POST-60163"/>
    <x v="1"/>
    <d v="2025-08-25T00:00:00"/>
    <x v="1"/>
    <n v="20181"/>
    <n v="15435"/>
    <n v="573"/>
    <n v="160"/>
    <n v="74"/>
    <n v="3.9988107625984835E-2"/>
    <n v="5.23"/>
    <n v="3.9988107625984835E-2"/>
    <m/>
    <m/>
    <m/>
  </r>
  <r>
    <s v="POST-60164"/>
    <x v="1"/>
    <d v="2024-04-07T00:00:00"/>
    <x v="4"/>
    <n v="36009"/>
    <n v="28102"/>
    <n v="1365"/>
    <n v="80"/>
    <n v="71"/>
    <n v="4.2100585964619956E-2"/>
    <n v="5.39"/>
    <n v="4.2100585964619956E-2"/>
    <m/>
    <m/>
    <m/>
  </r>
  <r>
    <s v="POST-60165"/>
    <x v="4"/>
    <d v="2024-04-25T00:00:00"/>
    <x v="2"/>
    <n v="10578"/>
    <n v="6946"/>
    <n v="278"/>
    <n v="44"/>
    <n v="34"/>
    <n v="3.3654755152202682E-2"/>
    <n v="5.13"/>
    <n v="3.3654755152202682E-2"/>
    <m/>
    <m/>
    <m/>
  </r>
  <r>
    <s v="POST-60166"/>
    <x v="1"/>
    <d v="2025-05-06T00:00:00"/>
    <x v="2"/>
    <n v="48103"/>
    <n v="24178"/>
    <n v="1342"/>
    <n v="354"/>
    <n v="139"/>
    <n v="3.8147308899652829E-2"/>
    <n v="7.59"/>
    <n v="3.8147308899652829E-2"/>
    <m/>
    <m/>
    <m/>
  </r>
  <r>
    <s v="POST-60167"/>
    <x v="2"/>
    <d v="2025-12-10T00:00:00"/>
    <x v="2"/>
    <n v="14655"/>
    <n v="13078"/>
    <n v="388"/>
    <n v="44"/>
    <n v="81"/>
    <n v="3.5005117707267143E-2"/>
    <n v="3.92"/>
    <n v="3.5005117707267143E-2"/>
    <m/>
    <m/>
    <m/>
  </r>
  <r>
    <s v="POST-60168"/>
    <x v="3"/>
    <d v="2025-01-08T00:00:00"/>
    <x v="3"/>
    <n v="93884"/>
    <n v="52756"/>
    <n v="2125"/>
    <n v="990"/>
    <n v="867"/>
    <n v="4.2414042861403434E-2"/>
    <n v="7.55"/>
    <n v="4.2414042861403434E-2"/>
    <m/>
    <m/>
    <m/>
  </r>
  <r>
    <s v="POST-60169"/>
    <x v="1"/>
    <d v="2024-10-08T00:00:00"/>
    <x v="4"/>
    <n v="45076"/>
    <n v="24828"/>
    <n v="1520"/>
    <n v="249"/>
    <n v="162"/>
    <n v="4.2838761203301094E-2"/>
    <n v="7.78"/>
    <n v="4.2838761203301094E-2"/>
    <m/>
    <m/>
    <m/>
  </r>
  <r>
    <s v="POST-60170"/>
    <x v="2"/>
    <d v="2024-03-27T00:00:00"/>
    <x v="2"/>
    <n v="35635"/>
    <n v="27103"/>
    <n v="465"/>
    <n v="39"/>
    <n v="100"/>
    <n v="1.6949628174547496E-2"/>
    <n v="2.23"/>
    <n v="1.6949628174547496E-2"/>
    <m/>
    <m/>
    <m/>
  </r>
  <r>
    <s v="POST-60171"/>
    <x v="1"/>
    <d v="2024-10-10T00:00:00"/>
    <x v="1"/>
    <n v="15434"/>
    <n v="11400"/>
    <n v="714"/>
    <n v="76"/>
    <n v="13"/>
    <n v="5.2027990151613322E-2"/>
    <n v="7.04"/>
    <n v="5.2027990151613322E-2"/>
    <m/>
    <m/>
    <m/>
  </r>
  <r>
    <s v="POST-60172"/>
    <x v="0"/>
    <d v="2024-05-13T00:00:00"/>
    <x v="1"/>
    <n v="21321"/>
    <n v="12342"/>
    <n v="176"/>
    <n v="153"/>
    <n v="231"/>
    <n v="2.626518455982365E-2"/>
    <n v="4.54"/>
    <n v="2.626518455982365E-2"/>
    <m/>
    <m/>
    <m/>
  </r>
  <r>
    <s v="POST-60173"/>
    <x v="0"/>
    <d v="2025-10-30T00:00:00"/>
    <x v="2"/>
    <n v="22187"/>
    <n v="9633"/>
    <n v="204"/>
    <n v="37"/>
    <n v="93"/>
    <n v="1.5053860368684365E-2"/>
    <n v="3.47"/>
    <n v="1.5053860368684365E-2"/>
    <m/>
    <m/>
    <m/>
  </r>
  <r>
    <s v="POST-60174"/>
    <x v="2"/>
    <d v="2025-02-19T00:00:00"/>
    <x v="1"/>
    <n v="9378"/>
    <n v="7167"/>
    <n v="190"/>
    <n v="7"/>
    <n v="96"/>
    <n v="3.1243335465984217E-2"/>
    <n v="4.09"/>
    <n v="3.1243335465984217E-2"/>
    <m/>
    <m/>
    <m/>
  </r>
  <r>
    <s v="POST-60175"/>
    <x v="1"/>
    <d v="2025-07-08T00:00:00"/>
    <x v="4"/>
    <n v="44531"/>
    <n v="34397"/>
    <n v="1578"/>
    <n v="81"/>
    <n v="227"/>
    <n v="4.2352518470279134E-2"/>
    <n v="5.48"/>
    <n v="4.2352518470279134E-2"/>
    <m/>
    <m/>
    <m/>
  </r>
  <r>
    <s v="POST-60176"/>
    <x v="4"/>
    <d v="2024-09-07T00:00:00"/>
    <x v="1"/>
    <n v="1833"/>
    <n v="1213"/>
    <n v="42"/>
    <n v="12"/>
    <n v="13"/>
    <n v="3.6552100381887616E-2"/>
    <n v="5.52"/>
    <n v="3.6552100381887616E-2"/>
    <m/>
    <m/>
    <m/>
  </r>
  <r>
    <s v="POST-60177"/>
    <x v="3"/>
    <d v="2025-04-29T00:00:00"/>
    <x v="2"/>
    <n v="163262"/>
    <n v="69262"/>
    <n v="4425"/>
    <n v="1354"/>
    <n v="2216"/>
    <n v="4.8970366649924664E-2"/>
    <n v="11.54"/>
    <n v="4.8970366649924664E-2"/>
    <m/>
    <m/>
    <m/>
  </r>
  <r>
    <s v="POST-60178"/>
    <x v="4"/>
    <d v="2025-11-05T00:00:00"/>
    <x v="1"/>
    <n v="10011"/>
    <n v="7004"/>
    <n v="264"/>
    <n v="137"/>
    <n v="44"/>
    <n v="4.4451103785835583E-2"/>
    <n v="6.35"/>
    <n v="4.4451103785835583E-2"/>
    <m/>
    <m/>
    <m/>
  </r>
  <r>
    <s v="POST-60179"/>
    <x v="2"/>
    <d v="2025-03-10T00:00:00"/>
    <x v="0"/>
    <n v="6937"/>
    <n v="4808"/>
    <n v="91"/>
    <n v="22"/>
    <n v="73"/>
    <n v="2.681274326077555E-2"/>
    <n v="3.87"/>
    <n v="2.681274326077555E-2"/>
    <m/>
    <m/>
    <m/>
  </r>
  <r>
    <s v="POST-60180"/>
    <x v="1"/>
    <d v="2025-11-27T00:00:00"/>
    <x v="4"/>
    <n v="13744"/>
    <n v="6665"/>
    <n v="229"/>
    <n v="76"/>
    <n v="38"/>
    <n v="2.4956344586728754E-2"/>
    <n v="5.15"/>
    <n v="2.4956344586728754E-2"/>
    <m/>
    <m/>
    <m/>
  </r>
  <r>
    <s v="POST-60181"/>
    <x v="1"/>
    <d v="2025-06-07T00:00:00"/>
    <x v="2"/>
    <n v="109761"/>
    <n v="67645"/>
    <n v="2000"/>
    <n v="322"/>
    <n v="89"/>
    <n v="2.1965907745009613E-2"/>
    <n v="3.56"/>
    <n v="2.1965907745009613E-2"/>
    <m/>
    <m/>
    <m/>
  </r>
  <r>
    <s v="POST-60182"/>
    <x v="0"/>
    <d v="2024-08-21T00:00:00"/>
    <x v="0"/>
    <n v="19511"/>
    <n v="5968"/>
    <n v="204"/>
    <n v="25"/>
    <n v="111"/>
    <n v="1.7426067346624982E-2"/>
    <n v="5.7"/>
    <n v="1.7426067346624982E-2"/>
    <m/>
    <m/>
    <m/>
  </r>
  <r>
    <s v="POST-60183"/>
    <x v="1"/>
    <d v="2024-03-06T00:00:00"/>
    <x v="3"/>
    <n v="44075"/>
    <n v="26842"/>
    <n v="936"/>
    <n v="58"/>
    <n v="224"/>
    <n v="2.7634713556437891E-2"/>
    <n v="4.54"/>
    <n v="2.7634713556437891E-2"/>
    <m/>
    <m/>
    <m/>
  </r>
  <r>
    <s v="POST-60184"/>
    <x v="3"/>
    <d v="2025-07-01T00:00:00"/>
    <x v="3"/>
    <n v="430687"/>
    <n v="221165"/>
    <n v="19145"/>
    <n v="1539"/>
    <n v="8164"/>
    <n v="6.6981357691316426E-2"/>
    <n v="13.04"/>
    <n v="6.6981357691316426E-2"/>
    <m/>
    <m/>
    <m/>
  </r>
  <r>
    <s v="POST-60185"/>
    <x v="3"/>
    <d v="2024-02-26T00:00:00"/>
    <x v="2"/>
    <n v="180438"/>
    <n v="122609"/>
    <n v="11422"/>
    <n v="3176"/>
    <n v="4525"/>
    <n v="0.10598100178454649"/>
    <n v="15.6"/>
    <n v="0.10598100178454649"/>
    <m/>
    <m/>
    <m/>
  </r>
  <r>
    <s v="POST-60186"/>
    <x v="4"/>
    <d v="2025-01-18T00:00:00"/>
    <x v="0"/>
    <n v="14797"/>
    <n v="8621"/>
    <n v="192"/>
    <n v="168"/>
    <n v="35"/>
    <n v="2.6694600256808813E-2"/>
    <n v="4.58"/>
    <n v="2.6694600256808813E-2"/>
    <m/>
    <m/>
    <m/>
  </r>
  <r>
    <s v="POST-60187"/>
    <x v="3"/>
    <d v="2024-01-17T00:00:00"/>
    <x v="2"/>
    <n v="69757"/>
    <n v="40862"/>
    <n v="3206"/>
    <n v="1150"/>
    <n v="1599"/>
    <n v="8.5367776710581017E-2"/>
    <n v="14.57"/>
    <n v="8.5367776710581017E-2"/>
    <m/>
    <m/>
    <m/>
  </r>
  <r>
    <s v="POST-60188"/>
    <x v="1"/>
    <d v="2025-05-24T00:00:00"/>
    <x v="2"/>
    <n v="38300"/>
    <n v="28274"/>
    <n v="777"/>
    <n v="327"/>
    <n v="100"/>
    <n v="3.1436031331592687E-2"/>
    <n v="4.26"/>
    <n v="3.1436031331592687E-2"/>
    <m/>
    <m/>
    <m/>
  </r>
  <r>
    <s v="POST-60189"/>
    <x v="1"/>
    <d v="2025-05-09T00:00:00"/>
    <x v="2"/>
    <n v="81586"/>
    <n v="63381"/>
    <n v="4259"/>
    <n v="802"/>
    <n v="173"/>
    <n v="6.4153163532959093E-2"/>
    <n v="8.26"/>
    <n v="6.4153163532959093E-2"/>
    <m/>
    <m/>
    <m/>
  </r>
  <r>
    <s v="POST-60190"/>
    <x v="3"/>
    <d v="2024-07-15T00:00:00"/>
    <x v="2"/>
    <n v="97177"/>
    <n v="52716"/>
    <n v="5662"/>
    <n v="309"/>
    <n v="1859"/>
    <n v="8.0574621566831664E-2"/>
    <n v="14.85"/>
    <n v="8.0574621566831664E-2"/>
    <m/>
    <m/>
    <m/>
  </r>
  <r>
    <s v="POST-60191"/>
    <x v="4"/>
    <d v="2025-10-05T00:00:00"/>
    <x v="2"/>
    <n v="18258"/>
    <n v="9480"/>
    <n v="373"/>
    <n v="131"/>
    <n v="52"/>
    <n v="3.0452404425457335E-2"/>
    <n v="5.86"/>
    <n v="3.0452404425457335E-2"/>
    <m/>
    <m/>
    <m/>
  </r>
  <r>
    <s v="POST-60192"/>
    <x v="3"/>
    <d v="2025-11-08T00:00:00"/>
    <x v="3"/>
    <n v="157187"/>
    <n v="56359"/>
    <n v="4523"/>
    <n v="1286"/>
    <n v="2163"/>
    <n v="5.0716662319403007E-2"/>
    <n v="14.15"/>
    <n v="5.0716662319403007E-2"/>
    <m/>
    <m/>
    <m/>
  </r>
  <r>
    <s v="POST-60193"/>
    <x v="4"/>
    <d v="2024-05-13T00:00:00"/>
    <x v="0"/>
    <n v="8356"/>
    <n v="3947"/>
    <n v="209"/>
    <n v="94"/>
    <n v="34"/>
    <n v="4.0330301579703208E-2"/>
    <n v="8.5399999999999991"/>
    <n v="4.0330301579703208E-2"/>
    <m/>
    <m/>
    <m/>
  </r>
  <r>
    <s v="POST-60194"/>
    <x v="1"/>
    <d v="2024-08-27T00:00:00"/>
    <x v="1"/>
    <n v="34583"/>
    <n v="25017"/>
    <n v="1675"/>
    <n v="194"/>
    <n v="169"/>
    <n v="5.8930688488563747E-2"/>
    <n v="8.15"/>
    <n v="5.8930688488563747E-2"/>
    <m/>
    <m/>
    <m/>
  </r>
  <r>
    <s v="POST-60195"/>
    <x v="1"/>
    <d v="2024-10-22T00:00:00"/>
    <x v="4"/>
    <n v="36439"/>
    <n v="25902"/>
    <n v="1663"/>
    <n v="143"/>
    <n v="169"/>
    <n v="5.4200170147369574E-2"/>
    <n v="7.62"/>
    <n v="5.4200170147369574E-2"/>
    <m/>
    <m/>
    <m/>
  </r>
  <r>
    <s v="POST-60196"/>
    <x v="1"/>
    <d v="2025-02-01T00:00:00"/>
    <x v="4"/>
    <n v="50268"/>
    <n v="32640"/>
    <n v="1559"/>
    <n v="313"/>
    <n v="34"/>
    <n v="3.7916766133524307E-2"/>
    <n v="5.84"/>
    <n v="3.7916766133524307E-2"/>
    <m/>
    <m/>
    <m/>
  </r>
  <r>
    <s v="POST-60197"/>
    <x v="3"/>
    <d v="2025-07-03T00:00:00"/>
    <x v="2"/>
    <n v="185050"/>
    <n v="80995"/>
    <n v="6766"/>
    <n v="1185"/>
    <n v="3765"/>
    <n v="6.3312618211294247E-2"/>
    <n v="14.47"/>
    <n v="6.3312618211294247E-2"/>
    <m/>
    <m/>
    <m/>
  </r>
  <r>
    <s v="POST-60198"/>
    <x v="3"/>
    <d v="2024-11-20T00:00:00"/>
    <x v="3"/>
    <n v="8500"/>
    <n v="3932"/>
    <n v="269"/>
    <n v="68"/>
    <n v="68"/>
    <n v="4.764705882352941E-2"/>
    <n v="10.3"/>
    <n v="4.764705882352941E-2"/>
    <m/>
    <m/>
    <m/>
  </r>
  <r>
    <s v="POST-60199"/>
    <x v="3"/>
    <d v="2024-03-19T00:00:00"/>
    <x v="3"/>
    <n v="91908"/>
    <n v="52531"/>
    <n v="3626"/>
    <n v="1542"/>
    <n v="682"/>
    <n v="6.3650607128867998E-2"/>
    <n v="11.14"/>
    <n v="6.3650607128867998E-2"/>
    <m/>
    <m/>
    <m/>
  </r>
  <r>
    <s v="POST-60200"/>
    <x v="3"/>
    <d v="2024-11-25T00:00:00"/>
    <x v="3"/>
    <n v="413749"/>
    <n v="151849"/>
    <n v="8225"/>
    <n v="3789"/>
    <n v="6535"/>
    <n v="4.4831528293723971E-2"/>
    <n v="12.22"/>
    <n v="4.4831528293723971E-2"/>
    <m/>
    <m/>
    <m/>
  </r>
  <r>
    <s v="POST-60201"/>
    <x v="3"/>
    <d v="2025-06-29T00:00:00"/>
    <x v="3"/>
    <n v="9232"/>
    <n v="5820"/>
    <n v="537"/>
    <n v="83"/>
    <n v="63"/>
    <n v="7.3981802426343155E-2"/>
    <n v="11.74"/>
    <n v="7.3981802426343155E-2"/>
    <m/>
    <m/>
    <m/>
  </r>
  <r>
    <s v="POST-60202"/>
    <x v="4"/>
    <d v="2024-12-10T00:00:00"/>
    <x v="1"/>
    <n v="11698"/>
    <n v="6309"/>
    <n v="309"/>
    <n v="75"/>
    <n v="89"/>
    <n v="4.0434262267054197E-2"/>
    <n v="7.5"/>
    <n v="4.0434262267054197E-2"/>
    <m/>
    <m/>
    <m/>
  </r>
  <r>
    <s v="POST-60203"/>
    <x v="3"/>
    <d v="2025-07-28T00:00:00"/>
    <x v="3"/>
    <n v="224484"/>
    <n v="155989"/>
    <n v="12346"/>
    <n v="838"/>
    <n v="2127"/>
    <n v="6.820530639154683E-2"/>
    <n v="9.82"/>
    <n v="6.820530639154683E-2"/>
    <m/>
    <m/>
    <m/>
  </r>
  <r>
    <s v="POST-60204"/>
    <x v="3"/>
    <d v="2025-12-13T00:00:00"/>
    <x v="3"/>
    <n v="199572"/>
    <n v="69186"/>
    <n v="2368"/>
    <n v="369"/>
    <n v="841"/>
    <n v="1.792836670474816E-2"/>
    <n v="5.17"/>
    <n v="1.792836670474816E-2"/>
    <m/>
    <m/>
    <m/>
  </r>
  <r>
    <s v="POST-60205"/>
    <x v="4"/>
    <d v="2025-01-16T00:00:00"/>
    <x v="0"/>
    <n v="4192"/>
    <n v="2166"/>
    <n v="35"/>
    <n v="19"/>
    <n v="15"/>
    <n v="1.6459923664122137E-2"/>
    <n v="3.19"/>
    <n v="1.6459923664122137E-2"/>
    <m/>
    <m/>
    <m/>
  </r>
  <r>
    <s v="POST-60206"/>
    <x v="2"/>
    <d v="2025-08-28T00:00:00"/>
    <x v="1"/>
    <n v="411"/>
    <n v="283"/>
    <n v="2"/>
    <n v="2"/>
    <n v="4"/>
    <n v="1.9464720194647202E-2"/>
    <n v="2.83"/>
    <n v="1.9464720194647202E-2"/>
    <m/>
    <m/>
    <m/>
  </r>
  <r>
    <s v="POST-60207"/>
    <x v="3"/>
    <d v="2024-01-22T00:00:00"/>
    <x v="2"/>
    <n v="317455"/>
    <n v="177637"/>
    <n v="10516"/>
    <n v="4747"/>
    <n v="5219"/>
    <n v="6.4519380699626719E-2"/>
    <n v="11.53"/>
    <n v="6.4519380699626719E-2"/>
    <m/>
    <m/>
    <m/>
  </r>
  <r>
    <s v="POST-60208"/>
    <x v="2"/>
    <d v="2024-06-25T00:00:00"/>
    <x v="0"/>
    <n v="23747"/>
    <n v="13149"/>
    <n v="283"/>
    <n v="76"/>
    <n v="215"/>
    <n v="2.4171474291489452E-2"/>
    <n v="4.37"/>
    <n v="2.4171474291489452E-2"/>
    <m/>
    <m/>
    <m/>
  </r>
  <r>
    <s v="POST-60209"/>
    <x v="3"/>
    <d v="2025-12-16T00:00:00"/>
    <x v="2"/>
    <n v="272386"/>
    <n v="146612"/>
    <n v="6631"/>
    <n v="1981"/>
    <n v="1699"/>
    <n v="3.7854368433032533E-2"/>
    <n v="7.03"/>
    <n v="3.7854368433032533E-2"/>
    <m/>
    <m/>
    <m/>
  </r>
  <r>
    <s v="POST-60210"/>
    <x v="1"/>
    <d v="2024-08-10T00:00:00"/>
    <x v="4"/>
    <n v="20635"/>
    <n v="14246"/>
    <n v="412"/>
    <n v="41"/>
    <n v="94"/>
    <n v="2.6508359583232371E-2"/>
    <n v="3.84"/>
    <n v="2.6508359583232371E-2"/>
    <m/>
    <m/>
    <m/>
  </r>
  <r>
    <s v="POST-60211"/>
    <x v="3"/>
    <d v="2024-05-10T00:00:00"/>
    <x v="2"/>
    <n v="512834"/>
    <n v="214531"/>
    <n v="20672"/>
    <n v="2667"/>
    <n v="9009"/>
    <n v="6.3076941076449691E-2"/>
    <n v="15.08"/>
    <n v="6.3076941076449691E-2"/>
    <m/>
    <m/>
    <m/>
  </r>
  <r>
    <s v="POST-60212"/>
    <x v="1"/>
    <d v="2024-04-10T00:00:00"/>
    <x v="2"/>
    <n v="81281"/>
    <n v="55901"/>
    <n v="3726"/>
    <n v="831"/>
    <n v="268"/>
    <n v="5.936196651123879E-2"/>
    <n v="8.6300000000000008"/>
    <n v="5.936196651123879E-2"/>
    <m/>
    <m/>
    <m/>
  </r>
  <r>
    <s v="POST-60213"/>
    <x v="4"/>
    <d v="2025-06-09T00:00:00"/>
    <x v="1"/>
    <n v="9256"/>
    <n v="6568"/>
    <n v="314"/>
    <n v="111"/>
    <n v="79"/>
    <n v="5.445116681071737E-2"/>
    <n v="7.67"/>
    <n v="5.445116681071737E-2"/>
    <m/>
    <m/>
    <m/>
  </r>
  <r>
    <s v="POST-60214"/>
    <x v="4"/>
    <d v="2024-08-21T00:00:00"/>
    <x v="1"/>
    <n v="19703"/>
    <n v="15340"/>
    <n v="703"/>
    <n v="148"/>
    <n v="216"/>
    <n v="5.4154189717301932E-2"/>
    <n v="6.96"/>
    <n v="5.4154189717301932E-2"/>
    <m/>
    <m/>
    <m/>
  </r>
  <r>
    <s v="POST-60215"/>
    <x v="1"/>
    <d v="2025-08-07T00:00:00"/>
    <x v="4"/>
    <n v="55527"/>
    <n v="38154"/>
    <n v="2627"/>
    <n v="441"/>
    <n v="77"/>
    <n v="5.6639112503826965E-2"/>
    <n v="8.24"/>
    <n v="5.6639112503826965E-2"/>
    <m/>
    <m/>
    <m/>
  </r>
  <r>
    <s v="POST-60216"/>
    <x v="1"/>
    <d v="2025-10-11T00:00:00"/>
    <x v="1"/>
    <n v="2387"/>
    <n v="1855"/>
    <n v="38"/>
    <n v="17"/>
    <n v="11"/>
    <n v="2.7649769585253458E-2"/>
    <n v="3.56"/>
    <n v="2.7649769585253458E-2"/>
    <m/>
    <m/>
    <m/>
  </r>
  <r>
    <s v="POST-60217"/>
    <x v="1"/>
    <d v="2024-02-08T00:00:00"/>
    <x v="2"/>
    <n v="84477"/>
    <n v="42276"/>
    <n v="1552"/>
    <n v="374"/>
    <n v="331"/>
    <n v="2.6717331344626349E-2"/>
    <n v="5.34"/>
    <n v="2.6717331344626349E-2"/>
    <m/>
    <m/>
    <m/>
  </r>
  <r>
    <s v="POST-60218"/>
    <x v="1"/>
    <d v="2024-01-21T00:00:00"/>
    <x v="2"/>
    <n v="21725"/>
    <n v="10248"/>
    <n v="233"/>
    <n v="103"/>
    <n v="87"/>
    <n v="1.947065592635213E-2"/>
    <n v="4.13"/>
    <n v="1.947065592635213E-2"/>
    <m/>
    <m/>
    <m/>
  </r>
  <r>
    <s v="POST-60219"/>
    <x v="4"/>
    <d v="2024-10-19T00:00:00"/>
    <x v="2"/>
    <n v="19152"/>
    <n v="8690"/>
    <n v="181"/>
    <n v="50"/>
    <n v="69"/>
    <n v="1.5664160401002505E-2"/>
    <n v="3.45"/>
    <n v="1.5664160401002505E-2"/>
    <m/>
    <m/>
    <m/>
  </r>
  <r>
    <s v="POST-60220"/>
    <x v="1"/>
    <d v="2024-12-01T00:00:00"/>
    <x v="3"/>
    <n v="69366"/>
    <n v="28833"/>
    <n v="797"/>
    <n v="111"/>
    <n v="260"/>
    <n v="1.6838220453824642E-2"/>
    <n v="4.05"/>
    <n v="1.6838220453824642E-2"/>
    <m/>
    <m/>
    <m/>
  </r>
  <r>
    <s v="POST-60221"/>
    <x v="3"/>
    <d v="2025-12-23T00:00:00"/>
    <x v="2"/>
    <n v="309128"/>
    <n v="121115"/>
    <n v="6789"/>
    <n v="2965"/>
    <n v="5670"/>
    <n v="4.9895189047902487E-2"/>
    <n v="12.74"/>
    <n v="4.9895189047902487E-2"/>
    <m/>
    <m/>
    <m/>
  </r>
  <r>
    <s v="POST-60222"/>
    <x v="1"/>
    <d v="2025-08-15T00:00:00"/>
    <x v="4"/>
    <n v="35463"/>
    <n v="16917"/>
    <n v="948"/>
    <n v="107"/>
    <n v="99"/>
    <n v="3.2540958181766909E-2"/>
    <n v="6.82"/>
    <n v="3.2540958181766909E-2"/>
    <m/>
    <m/>
    <m/>
  </r>
  <r>
    <s v="POST-60223"/>
    <x v="3"/>
    <d v="2024-07-29T00:00:00"/>
    <x v="3"/>
    <n v="346346"/>
    <n v="130370"/>
    <n v="12843"/>
    <n v="1781"/>
    <n v="5513"/>
    <n v="5.8141280684633284E-2"/>
    <n v="15.45"/>
    <n v="5.8141280684633284E-2"/>
    <m/>
    <m/>
    <m/>
  </r>
  <r>
    <s v="POST-60224"/>
    <x v="0"/>
    <d v="2024-11-03T00:00:00"/>
    <x v="1"/>
    <n v="1243"/>
    <n v="485"/>
    <n v="24"/>
    <n v="9"/>
    <n v="9"/>
    <n v="3.3789219629927592E-2"/>
    <n v="8.66"/>
    <n v="3.3789219629927592E-2"/>
    <m/>
    <m/>
    <m/>
  </r>
  <r>
    <s v="POST-60225"/>
    <x v="3"/>
    <d v="2024-03-08T00:00:00"/>
    <x v="3"/>
    <n v="67913"/>
    <n v="33045"/>
    <n v="2727"/>
    <n v="402"/>
    <n v="1198"/>
    <n v="6.3713869215025101E-2"/>
    <n v="13.09"/>
    <n v="6.3713869215025101E-2"/>
    <m/>
    <m/>
    <m/>
  </r>
  <r>
    <s v="POST-60226"/>
    <x v="1"/>
    <d v="2024-11-14T00:00:00"/>
    <x v="1"/>
    <n v="22677"/>
    <n v="15868"/>
    <n v="334"/>
    <n v="211"/>
    <n v="112"/>
    <n v="2.8972086254795609E-2"/>
    <n v="4.1399999999999997"/>
    <n v="2.8972086254795609E-2"/>
    <m/>
    <m/>
    <m/>
  </r>
  <r>
    <s v="POST-60227"/>
    <x v="1"/>
    <d v="2024-05-07T00:00:00"/>
    <x v="3"/>
    <n v="69409"/>
    <n v="48074"/>
    <n v="1798"/>
    <n v="526"/>
    <n v="444"/>
    <n v="3.9879554524629372E-2"/>
    <n v="5.76"/>
    <n v="3.9879554524629372E-2"/>
    <m/>
    <m/>
    <m/>
  </r>
  <r>
    <s v="POST-60228"/>
    <x v="1"/>
    <d v="2025-09-28T00:00:00"/>
    <x v="3"/>
    <n v="84665"/>
    <n v="39276"/>
    <n v="2976"/>
    <n v="361"/>
    <n v="291"/>
    <n v="4.2851237229079311E-2"/>
    <n v="9.24"/>
    <n v="4.2851237229079311E-2"/>
    <m/>
    <m/>
    <m/>
  </r>
  <r>
    <s v="POST-60229"/>
    <x v="1"/>
    <d v="2024-09-29T00:00:00"/>
    <x v="2"/>
    <n v="69804"/>
    <n v="44744"/>
    <n v="2608"/>
    <n v="114"/>
    <n v="104"/>
    <n v="4.0484785972150591E-2"/>
    <n v="6.32"/>
    <n v="4.0484785972150591E-2"/>
    <m/>
    <m/>
    <m/>
  </r>
  <r>
    <s v="POST-60230"/>
    <x v="4"/>
    <d v="2025-12-12T00:00:00"/>
    <x v="1"/>
    <n v="12708"/>
    <n v="7249"/>
    <n v="182"/>
    <n v="120"/>
    <n v="98"/>
    <n v="3.147623544224111E-2"/>
    <n v="5.52"/>
    <n v="3.147623544224111E-2"/>
    <m/>
    <m/>
    <m/>
  </r>
  <r>
    <s v="POST-60231"/>
    <x v="1"/>
    <d v="2025-06-14T00:00:00"/>
    <x v="3"/>
    <n v="25969"/>
    <n v="19451"/>
    <n v="1525"/>
    <n v="137"/>
    <n v="120"/>
    <n v="6.862027802379761E-2"/>
    <n v="9.16"/>
    <n v="6.862027802379761E-2"/>
    <m/>
    <m/>
    <m/>
  </r>
  <r>
    <s v="POST-60232"/>
    <x v="0"/>
    <d v="2024-01-02T00:00:00"/>
    <x v="0"/>
    <n v="24835"/>
    <n v="13405"/>
    <n v="446"/>
    <n v="139"/>
    <n v="131"/>
    <n v="2.8830279846990135E-2"/>
    <n v="5.34"/>
    <n v="2.8830279846990135E-2"/>
    <m/>
    <m/>
    <m/>
  </r>
  <r>
    <s v="POST-60233"/>
    <x v="1"/>
    <d v="2025-10-06T00:00:00"/>
    <x v="2"/>
    <n v="69623"/>
    <n v="43901"/>
    <n v="2257"/>
    <n v="589"/>
    <n v="45"/>
    <n v="4.1523634431150626E-2"/>
    <n v="6.59"/>
    <n v="4.1523634431150626E-2"/>
    <m/>
    <m/>
    <m/>
  </r>
  <r>
    <s v="POST-60234"/>
    <x v="1"/>
    <d v="2025-02-03T00:00:00"/>
    <x v="4"/>
    <n v="36545"/>
    <n v="18868"/>
    <n v="832"/>
    <n v="167"/>
    <n v="73"/>
    <n v="2.9333698180325624E-2"/>
    <n v="5.68"/>
    <n v="2.9333698180325624E-2"/>
    <m/>
    <m/>
    <m/>
  </r>
  <r>
    <s v="POST-60235"/>
    <x v="0"/>
    <d v="2025-03-18T00:00:00"/>
    <x v="2"/>
    <n v="12513"/>
    <n v="4472"/>
    <n v="199"/>
    <n v="36"/>
    <n v="127"/>
    <n v="2.8929912890593781E-2"/>
    <n v="8.09"/>
    <n v="2.8929912890593781E-2"/>
    <m/>
    <m/>
    <m/>
  </r>
  <r>
    <s v="POST-60236"/>
    <x v="0"/>
    <d v="2024-01-14T00:00:00"/>
    <x v="4"/>
    <n v="33475"/>
    <n v="17487"/>
    <n v="781"/>
    <n v="61"/>
    <n v="302"/>
    <n v="3.4174757281553399E-2"/>
    <n v="6.54"/>
    <n v="3.4174757281553399E-2"/>
    <m/>
    <m/>
    <m/>
  </r>
  <r>
    <s v="POST-60237"/>
    <x v="0"/>
    <d v="2024-12-29T00:00:00"/>
    <x v="4"/>
    <n v="32149"/>
    <n v="17932"/>
    <n v="199"/>
    <n v="219"/>
    <n v="496"/>
    <n v="2.8430122243304611E-2"/>
    <n v="5.0999999999999996"/>
    <n v="2.8430122243304611E-2"/>
    <m/>
    <m/>
    <m/>
  </r>
  <r>
    <s v="POST-60238"/>
    <x v="0"/>
    <d v="2025-07-27T00:00:00"/>
    <x v="2"/>
    <n v="59311"/>
    <n v="38645"/>
    <n v="1427"/>
    <n v="178"/>
    <n v="1097"/>
    <n v="4.5556473504071757E-2"/>
    <n v="6.99"/>
    <n v="4.5556473504071757E-2"/>
    <m/>
    <m/>
    <m/>
  </r>
  <r>
    <s v="POST-60239"/>
    <x v="2"/>
    <d v="2025-03-18T00:00:00"/>
    <x v="1"/>
    <n v="6650"/>
    <n v="4450"/>
    <n v="88"/>
    <n v="29"/>
    <n v="30"/>
    <n v="2.2105263157894735E-2"/>
    <n v="3.3"/>
    <n v="2.2105263157894735E-2"/>
    <m/>
    <m/>
    <m/>
  </r>
  <r>
    <s v="POST-60240"/>
    <x v="0"/>
    <d v="2025-05-14T00:00:00"/>
    <x v="4"/>
    <n v="1657"/>
    <n v="1073"/>
    <n v="37"/>
    <n v="10"/>
    <n v="23"/>
    <n v="4.2245021122510558E-2"/>
    <n v="6.52"/>
    <n v="4.2245021122510558E-2"/>
    <m/>
    <m/>
    <m/>
  </r>
  <r>
    <s v="POST-60241"/>
    <x v="3"/>
    <d v="2024-06-02T00:00:00"/>
    <x v="2"/>
    <n v="108505"/>
    <n v="70144"/>
    <n v="2978"/>
    <n v="1107"/>
    <n v="2855"/>
    <n v="6.3960186166536107E-2"/>
    <n v="9.89"/>
    <n v="6.3960186166536107E-2"/>
    <m/>
    <m/>
    <m/>
  </r>
  <r>
    <s v="POST-60242"/>
    <x v="1"/>
    <d v="2024-06-22T00:00:00"/>
    <x v="4"/>
    <n v="51565"/>
    <n v="36906"/>
    <n v="2329"/>
    <n v="388"/>
    <n v="296"/>
    <n v="5.8431106370600214E-2"/>
    <n v="8.16"/>
    <n v="5.8431106370600214E-2"/>
    <m/>
    <m/>
    <m/>
  </r>
  <r>
    <s v="POST-60243"/>
    <x v="3"/>
    <d v="2025-12-07T00:00:00"/>
    <x v="2"/>
    <n v="178037"/>
    <n v="88521"/>
    <n v="6409"/>
    <n v="1924"/>
    <n v="3605"/>
    <n v="6.7053477647904647E-2"/>
    <n v="13.49"/>
    <n v="6.7053477647904647E-2"/>
    <m/>
    <m/>
    <m/>
  </r>
  <r>
    <s v="POST-60244"/>
    <x v="3"/>
    <d v="2024-01-13T00:00:00"/>
    <x v="3"/>
    <n v="113603"/>
    <n v="66263"/>
    <n v="2835"/>
    <n v="1732"/>
    <n v="2443"/>
    <n v="6.1706116915926514E-2"/>
    <n v="10.58"/>
    <n v="6.1706116915926514E-2"/>
    <m/>
    <m/>
    <m/>
  </r>
  <r>
    <s v="POST-60245"/>
    <x v="3"/>
    <d v="2025-02-20T00:00:00"/>
    <x v="2"/>
    <n v="412062"/>
    <n v="210624"/>
    <n v="18048"/>
    <n v="5421"/>
    <n v="5811"/>
    <n v="7.1057268081016936E-2"/>
    <n v="13.9"/>
    <n v="7.1057268081016936E-2"/>
    <m/>
    <m/>
    <m/>
  </r>
  <r>
    <s v="POST-60246"/>
    <x v="3"/>
    <d v="2025-11-11T00:00:00"/>
    <x v="3"/>
    <n v="167258"/>
    <n v="105559"/>
    <n v="7139"/>
    <n v="1753"/>
    <n v="3165"/>
    <n v="7.2086238027478503E-2"/>
    <n v="11.42"/>
    <n v="7.2086238027478503E-2"/>
    <m/>
    <m/>
    <m/>
  </r>
  <r>
    <s v="POST-60247"/>
    <x v="0"/>
    <d v="2024-05-22T00:00:00"/>
    <x v="1"/>
    <n v="8453"/>
    <n v="2744"/>
    <n v="70"/>
    <n v="52"/>
    <n v="61"/>
    <n v="2.1649118656098428E-2"/>
    <n v="6.67"/>
    <n v="2.1649118656098428E-2"/>
    <m/>
    <m/>
    <m/>
  </r>
  <r>
    <s v="POST-60248"/>
    <x v="0"/>
    <d v="2024-03-25T00:00:00"/>
    <x v="1"/>
    <n v="11670"/>
    <n v="7549"/>
    <n v="83"/>
    <n v="121"/>
    <n v="183"/>
    <n v="3.3161953727506424E-2"/>
    <n v="5.13"/>
    <n v="3.3161953727506424E-2"/>
    <m/>
    <m/>
    <m/>
  </r>
  <r>
    <s v="POST-60249"/>
    <x v="1"/>
    <d v="2024-03-06T00:00:00"/>
    <x v="3"/>
    <n v="50804"/>
    <n v="33333"/>
    <n v="1967"/>
    <n v="113"/>
    <n v="54"/>
    <n v="4.2004566569561454E-2"/>
    <n v="6.4"/>
    <n v="4.2004566569561454E-2"/>
    <m/>
    <m/>
    <m/>
  </r>
  <r>
    <s v="POST-60250"/>
    <x v="2"/>
    <d v="2024-03-10T00:00:00"/>
    <x v="0"/>
    <n v="19570"/>
    <n v="15268"/>
    <n v="93"/>
    <n v="58"/>
    <n v="43"/>
    <n v="9.9131323454266732E-3"/>
    <n v="1.27"/>
    <n v="9.9131323454266732E-3"/>
    <m/>
    <m/>
    <m/>
  </r>
  <r>
    <s v="POST-60251"/>
    <x v="1"/>
    <d v="2025-10-30T00:00:00"/>
    <x v="3"/>
    <n v="25198"/>
    <n v="11732"/>
    <n v="764"/>
    <n v="64"/>
    <n v="115"/>
    <n v="3.7423605048019684E-2"/>
    <n v="8.0399999999999991"/>
    <n v="3.7423605048019684E-2"/>
    <m/>
    <m/>
    <m/>
  </r>
  <r>
    <s v="POST-60252"/>
    <x v="4"/>
    <d v="2025-05-20T00:00:00"/>
    <x v="4"/>
    <n v="1247"/>
    <n v="713"/>
    <n v="24"/>
    <n v="16"/>
    <n v="6"/>
    <n v="3.6888532477947072E-2"/>
    <n v="6.45"/>
    <n v="3.6888532477947072E-2"/>
    <m/>
    <m/>
    <m/>
  </r>
  <r>
    <s v="POST-60253"/>
    <x v="1"/>
    <d v="2025-09-30T00:00:00"/>
    <x v="4"/>
    <n v="46649"/>
    <n v="19555"/>
    <n v="1372"/>
    <n v="213"/>
    <n v="143"/>
    <n v="3.7042594696563701E-2"/>
    <n v="8.84"/>
    <n v="3.7042594696563701E-2"/>
    <m/>
    <m/>
    <m/>
  </r>
  <r>
    <s v="POST-60254"/>
    <x v="1"/>
    <d v="2025-08-19T00:00:00"/>
    <x v="1"/>
    <n v="35125"/>
    <n v="22571"/>
    <n v="1746"/>
    <n v="128"/>
    <n v="225"/>
    <n v="5.9758007117437721E-2"/>
    <n v="9.3000000000000007"/>
    <n v="5.9758007117437721E-2"/>
    <m/>
    <m/>
    <m/>
  </r>
  <r>
    <s v="POST-60255"/>
    <x v="3"/>
    <d v="2024-08-25T00:00:00"/>
    <x v="3"/>
    <n v="11249"/>
    <n v="7065"/>
    <n v="364"/>
    <n v="173"/>
    <n v="155"/>
    <n v="6.1516579251489019E-2"/>
    <n v="9.7899999999999991"/>
    <n v="6.1516579251489019E-2"/>
    <m/>
    <m/>
    <m/>
  </r>
  <r>
    <s v="POST-60256"/>
    <x v="0"/>
    <d v="2025-11-03T00:00:00"/>
    <x v="0"/>
    <n v="24441"/>
    <n v="10879"/>
    <n v="337"/>
    <n v="202"/>
    <n v="75"/>
    <n v="2.5121721697148235E-2"/>
    <n v="5.64"/>
    <n v="2.5121721697148235E-2"/>
    <m/>
    <m/>
    <m/>
  </r>
  <r>
    <s v="POST-60257"/>
    <x v="4"/>
    <d v="2025-09-29T00:00:00"/>
    <x v="2"/>
    <n v="2648"/>
    <n v="1347"/>
    <n v="49"/>
    <n v="14"/>
    <n v="17"/>
    <n v="3.0211480362537766E-2"/>
    <n v="5.94"/>
    <n v="3.0211480362537766E-2"/>
    <m/>
    <m/>
    <m/>
  </r>
  <r>
    <s v="POST-60258"/>
    <x v="0"/>
    <d v="2024-10-10T00:00:00"/>
    <x v="0"/>
    <n v="8413"/>
    <n v="5885"/>
    <n v="210"/>
    <n v="45"/>
    <n v="95"/>
    <n v="4.1602282182336858E-2"/>
    <n v="5.95"/>
    <n v="4.1602282182336858E-2"/>
    <m/>
    <m/>
    <m/>
  </r>
  <r>
    <s v="POST-60259"/>
    <x v="1"/>
    <d v="2024-07-18T00:00:00"/>
    <x v="3"/>
    <n v="87465"/>
    <n v="46191"/>
    <n v="2314"/>
    <n v="107"/>
    <n v="330"/>
    <n v="3.1452581032412968E-2"/>
    <n v="5.96"/>
    <n v="3.1452581032412968E-2"/>
    <m/>
    <m/>
    <m/>
  </r>
  <r>
    <s v="POST-60260"/>
    <x v="3"/>
    <d v="2024-10-30T00:00:00"/>
    <x v="2"/>
    <n v="238988"/>
    <n v="75452"/>
    <n v="6979"/>
    <n v="1303"/>
    <n v="1839"/>
    <n v="4.234940666476978E-2"/>
    <n v="13.41"/>
    <n v="4.234940666476978E-2"/>
    <m/>
    <m/>
    <m/>
  </r>
  <r>
    <s v="POST-60261"/>
    <x v="4"/>
    <d v="2025-01-28T00:00:00"/>
    <x v="1"/>
    <n v="10739"/>
    <n v="6660"/>
    <n v="385"/>
    <n v="43"/>
    <n v="74"/>
    <n v="4.6745507030449759E-2"/>
    <n v="7.54"/>
    <n v="4.6745507030449759E-2"/>
    <m/>
    <m/>
    <m/>
  </r>
  <r>
    <s v="POST-60262"/>
    <x v="1"/>
    <d v="2025-03-14T00:00:00"/>
    <x v="1"/>
    <n v="13057"/>
    <n v="9506"/>
    <n v="650"/>
    <n v="89"/>
    <n v="25"/>
    <n v="5.8512675193382858E-2"/>
    <n v="8.0399999999999991"/>
    <n v="5.8512675193382858E-2"/>
    <m/>
    <m/>
    <m/>
  </r>
  <r>
    <s v="POST-60263"/>
    <x v="0"/>
    <d v="2025-12-09T00:00:00"/>
    <x v="1"/>
    <n v="27725"/>
    <n v="17999"/>
    <n v="349"/>
    <n v="231"/>
    <n v="427"/>
    <n v="3.6321009918845806E-2"/>
    <n v="5.59"/>
    <n v="3.6321009918845806E-2"/>
    <m/>
    <m/>
    <m/>
  </r>
  <r>
    <s v="POST-60264"/>
    <x v="1"/>
    <d v="2025-03-14T00:00:00"/>
    <x v="4"/>
    <n v="57682"/>
    <n v="44434"/>
    <n v="1003"/>
    <n v="262"/>
    <n v="289"/>
    <n v="2.6940813425331993E-2"/>
    <n v="3.5"/>
    <n v="2.6940813425331993E-2"/>
    <m/>
    <m/>
    <m/>
  </r>
  <r>
    <s v="POST-60265"/>
    <x v="2"/>
    <d v="2024-07-03T00:00:00"/>
    <x v="2"/>
    <n v="17139"/>
    <n v="9843"/>
    <n v="52"/>
    <n v="36"/>
    <n v="177"/>
    <n v="1.5461812241087579E-2"/>
    <n v="2.69"/>
    <n v="1.5461812241087579E-2"/>
    <m/>
    <m/>
    <m/>
  </r>
  <r>
    <s v="POST-60266"/>
    <x v="3"/>
    <d v="2025-06-09T00:00:00"/>
    <x v="3"/>
    <n v="189115"/>
    <n v="82786"/>
    <n v="9495"/>
    <n v="717"/>
    <n v="2947"/>
    <n v="6.9582000370145156E-2"/>
    <n v="15.9"/>
    <n v="6.9582000370145156E-2"/>
    <m/>
    <m/>
    <m/>
  </r>
  <r>
    <s v="POST-60267"/>
    <x v="1"/>
    <d v="2024-07-27T00:00:00"/>
    <x v="1"/>
    <n v="44207"/>
    <n v="32862"/>
    <n v="803"/>
    <n v="386"/>
    <n v="318"/>
    <n v="3.4089623815232881E-2"/>
    <n v="4.59"/>
    <n v="3.4089623815232881E-2"/>
    <m/>
    <m/>
    <m/>
  </r>
  <r>
    <s v="POST-60268"/>
    <x v="2"/>
    <d v="2025-05-15T00:00:00"/>
    <x v="0"/>
    <n v="15615"/>
    <n v="13350"/>
    <n v="146"/>
    <n v="15"/>
    <n v="260"/>
    <n v="2.696125520333013E-2"/>
    <n v="3.15"/>
    <n v="2.696125520333013E-2"/>
    <m/>
    <m/>
    <m/>
  </r>
  <r>
    <s v="POST-60269"/>
    <x v="4"/>
    <d v="2024-04-27T00:00:00"/>
    <x v="1"/>
    <n v="14552"/>
    <n v="11582"/>
    <n v="469"/>
    <n v="154"/>
    <n v="139"/>
    <n v="5.2363936228697089E-2"/>
    <n v="6.58"/>
    <n v="5.2363936228697089E-2"/>
    <m/>
    <m/>
    <m/>
  </r>
  <r>
    <s v="POST-60270"/>
    <x v="0"/>
    <d v="2025-07-25T00:00:00"/>
    <x v="1"/>
    <n v="3215"/>
    <n v="1257"/>
    <n v="34"/>
    <n v="3"/>
    <n v="16"/>
    <n v="1.6485225505443235E-2"/>
    <n v="4.22"/>
    <n v="1.6485225505443235E-2"/>
    <m/>
    <m/>
    <m/>
  </r>
  <r>
    <s v="POST-60271"/>
    <x v="2"/>
    <d v="2024-01-03T00:00:00"/>
    <x v="1"/>
    <n v="22166"/>
    <n v="13317"/>
    <n v="280"/>
    <n v="50"/>
    <n v="213"/>
    <n v="2.4496977352702336E-2"/>
    <n v="4.08"/>
    <n v="2.4496977352702336E-2"/>
    <m/>
    <m/>
    <m/>
  </r>
  <r>
    <s v="POST-60272"/>
    <x v="3"/>
    <d v="2025-08-25T00:00:00"/>
    <x v="3"/>
    <n v="115946"/>
    <n v="37187"/>
    <n v="3976"/>
    <n v="509"/>
    <n v="1040"/>
    <n v="4.7651492936366932E-2"/>
    <n v="14.86"/>
    <n v="4.7651492936366932E-2"/>
    <m/>
    <m/>
    <m/>
  </r>
  <r>
    <s v="POST-60273"/>
    <x v="2"/>
    <d v="2024-12-05T00:00:00"/>
    <x v="2"/>
    <n v="49795"/>
    <n v="40622"/>
    <n v="928"/>
    <n v="63"/>
    <n v="119"/>
    <n v="2.2291394718345216E-2"/>
    <n v="2.73"/>
    <n v="2.2291394718345216E-2"/>
    <m/>
    <m/>
    <m/>
  </r>
  <r>
    <s v="POST-60274"/>
    <x v="0"/>
    <d v="2025-11-15T00:00:00"/>
    <x v="1"/>
    <n v="21275"/>
    <n v="11159"/>
    <n v="223"/>
    <n v="149"/>
    <n v="244"/>
    <n v="2.8954171562867215E-2"/>
    <n v="5.52"/>
    <n v="2.8954171562867215E-2"/>
    <m/>
    <m/>
    <m/>
  </r>
  <r>
    <s v="POST-60275"/>
    <x v="3"/>
    <d v="2025-10-14T00:00:00"/>
    <x v="2"/>
    <n v="249153"/>
    <n v="111826"/>
    <n v="9278"/>
    <n v="2328"/>
    <n v="2336"/>
    <n v="5.5957584295593471E-2"/>
    <n v="12.47"/>
    <n v="5.5957584295593471E-2"/>
    <m/>
    <m/>
    <m/>
  </r>
  <r>
    <s v="POST-60276"/>
    <x v="3"/>
    <d v="2024-02-04T00:00:00"/>
    <x v="3"/>
    <n v="479116"/>
    <n v="244474"/>
    <n v="29116"/>
    <n v="1302"/>
    <n v="5281"/>
    <n v="7.4510139506925255E-2"/>
    <n v="14.6"/>
    <n v="7.4510139506925255E-2"/>
    <m/>
    <m/>
    <m/>
  </r>
  <r>
    <s v="POST-60277"/>
    <x v="0"/>
    <d v="2024-06-22T00:00:00"/>
    <x v="4"/>
    <n v="1917"/>
    <n v="751"/>
    <n v="26"/>
    <n v="4"/>
    <n v="15"/>
    <n v="2.3474178403755867E-2"/>
    <n v="5.99"/>
    <n v="2.3474178403755867E-2"/>
    <m/>
    <m/>
    <m/>
  </r>
  <r>
    <s v="POST-60278"/>
    <x v="4"/>
    <d v="2025-04-04T00:00:00"/>
    <x v="0"/>
    <n v="14624"/>
    <n v="7922"/>
    <n v="238"/>
    <n v="76"/>
    <n v="99"/>
    <n v="2.8241247264770241E-2"/>
    <n v="5.21"/>
    <n v="2.8241247264770241E-2"/>
    <m/>
    <m/>
    <m/>
  </r>
  <r>
    <s v="POST-60279"/>
    <x v="3"/>
    <d v="2025-03-22T00:00:00"/>
    <x v="2"/>
    <n v="171936"/>
    <n v="96477"/>
    <n v="4349"/>
    <n v="2652"/>
    <n v="1481"/>
    <n v="4.9332309696631306E-2"/>
    <n v="8.7899999999999991"/>
    <n v="4.9332309696631306E-2"/>
    <m/>
    <m/>
    <m/>
  </r>
  <r>
    <s v="POST-60280"/>
    <x v="3"/>
    <d v="2024-03-31T00:00:00"/>
    <x v="3"/>
    <n v="267265"/>
    <n v="129762"/>
    <n v="4658"/>
    <n v="3705"/>
    <n v="1986"/>
    <n v="3.8721867809103326E-2"/>
    <n v="7.98"/>
    <n v="3.8721867809103326E-2"/>
    <m/>
    <m/>
    <m/>
  </r>
  <r>
    <s v="POST-60281"/>
    <x v="0"/>
    <d v="2025-11-26T00:00:00"/>
    <x v="4"/>
    <n v="15655"/>
    <n v="8593"/>
    <n v="328"/>
    <n v="153"/>
    <n v="116"/>
    <n v="3.8134781220057493E-2"/>
    <n v="6.95"/>
    <n v="3.8134781220057493E-2"/>
    <m/>
    <m/>
    <m/>
  </r>
  <r>
    <s v="POST-60282"/>
    <x v="0"/>
    <d v="2024-12-07T00:00:00"/>
    <x v="2"/>
    <n v="50893"/>
    <n v="32443"/>
    <n v="580"/>
    <n v="105"/>
    <n v="827"/>
    <n v="2.9709390289430766E-2"/>
    <n v="4.66"/>
    <n v="2.9709390289430766E-2"/>
    <m/>
    <m/>
    <m/>
  </r>
  <r>
    <s v="POST-60283"/>
    <x v="3"/>
    <d v="2024-08-08T00:00:00"/>
    <x v="2"/>
    <n v="124057"/>
    <n v="43671"/>
    <n v="5159"/>
    <n v="598"/>
    <n v="1119"/>
    <n v="5.5426134760634224E-2"/>
    <n v="15.75"/>
    <n v="5.5426134760634224E-2"/>
    <m/>
    <m/>
    <m/>
  </r>
  <r>
    <s v="POST-60284"/>
    <x v="3"/>
    <d v="2024-09-15T00:00:00"/>
    <x v="3"/>
    <n v="317606"/>
    <n v="204299"/>
    <n v="6349"/>
    <n v="5077"/>
    <n v="3835"/>
    <n v="4.8050099809197562E-2"/>
    <n v="7.47"/>
    <n v="4.8050099809197562E-2"/>
    <m/>
    <m/>
    <m/>
  </r>
  <r>
    <s v="POST-60285"/>
    <x v="3"/>
    <d v="2024-08-17T00:00:00"/>
    <x v="3"/>
    <n v="130990"/>
    <n v="74173"/>
    <n v="7846"/>
    <n v="583"/>
    <n v="1506"/>
    <n v="7.5845484388121234E-2"/>
    <n v="13.39"/>
    <n v="7.5845484388121234E-2"/>
    <m/>
    <m/>
    <m/>
  </r>
  <r>
    <s v="POST-60286"/>
    <x v="1"/>
    <d v="2024-02-23T00:00:00"/>
    <x v="2"/>
    <n v="19221"/>
    <n v="8063"/>
    <n v="629"/>
    <n v="38"/>
    <n v="17"/>
    <n v="3.5586077727485566E-2"/>
    <n v="8.48"/>
    <n v="3.5586077727485566E-2"/>
    <m/>
    <m/>
    <m/>
  </r>
  <r>
    <s v="POST-60287"/>
    <x v="1"/>
    <d v="2024-06-11T00:00:00"/>
    <x v="2"/>
    <n v="48127"/>
    <n v="28544"/>
    <n v="692"/>
    <n v="260"/>
    <n v="141"/>
    <n v="2.2710744488540737E-2"/>
    <n v="3.83"/>
    <n v="2.2710744488540737E-2"/>
    <m/>
    <m/>
    <m/>
  </r>
  <r>
    <s v="POST-60288"/>
    <x v="0"/>
    <d v="2024-09-29T00:00:00"/>
    <x v="4"/>
    <n v="20600"/>
    <n v="7910"/>
    <n v="300"/>
    <n v="120"/>
    <n v="167"/>
    <n v="2.8495145631067961E-2"/>
    <n v="7.42"/>
    <n v="2.8495145631067961E-2"/>
    <m/>
    <m/>
    <m/>
  </r>
  <r>
    <s v="POST-60289"/>
    <x v="3"/>
    <d v="2024-03-25T00:00:00"/>
    <x v="3"/>
    <n v="267250"/>
    <n v="160414"/>
    <n v="16606"/>
    <n v="2210"/>
    <n v="6744"/>
    <n v="9.564078578110384E-2"/>
    <n v="15.93"/>
    <n v="9.564078578110384E-2"/>
    <m/>
    <m/>
    <m/>
  </r>
  <r>
    <s v="POST-60290"/>
    <x v="2"/>
    <d v="2025-12-09T00:00:00"/>
    <x v="2"/>
    <n v="65898"/>
    <n v="58771"/>
    <n v="667"/>
    <n v="59"/>
    <n v="1074"/>
    <n v="2.7314941272876262E-2"/>
    <n v="3.06"/>
    <n v="2.7314941272876262E-2"/>
    <m/>
    <m/>
    <m/>
  </r>
  <r>
    <s v="POST-60291"/>
    <x v="3"/>
    <d v="2024-07-13T00:00:00"/>
    <x v="3"/>
    <n v="162631"/>
    <n v="81462"/>
    <n v="9603"/>
    <n v="1326"/>
    <n v="1988"/>
    <n v="7.9425201837288101E-2"/>
    <n v="15.86"/>
    <n v="7.9425201837288101E-2"/>
    <m/>
    <m/>
    <m/>
  </r>
  <r>
    <s v="POST-60292"/>
    <x v="3"/>
    <d v="2025-03-18T00:00:00"/>
    <x v="2"/>
    <n v="335925"/>
    <n v="206102"/>
    <n v="22794"/>
    <n v="4283"/>
    <n v="6109"/>
    <n v="9.8789908461710207E-2"/>
    <n v="16.100000000000001"/>
    <n v="9.8789908461710207E-2"/>
    <m/>
    <m/>
    <m/>
  </r>
  <r>
    <s v="POST-60293"/>
    <x v="3"/>
    <d v="2025-04-19T00:00:00"/>
    <x v="3"/>
    <n v="327720"/>
    <n v="113540"/>
    <n v="10924"/>
    <n v="1235"/>
    <n v="2980"/>
    <n v="4.6194922494812642E-2"/>
    <n v="13.33"/>
    <n v="4.6194922494812642E-2"/>
    <m/>
    <m/>
    <m/>
  </r>
  <r>
    <s v="POST-60294"/>
    <x v="3"/>
    <d v="2024-08-25T00:00:00"/>
    <x v="2"/>
    <n v="264001"/>
    <n v="115285"/>
    <n v="4168"/>
    <n v="2054"/>
    <n v="4790"/>
    <n v="4.1711963212260561E-2"/>
    <n v="9.5500000000000007"/>
    <n v="4.1711963212260561E-2"/>
    <m/>
    <m/>
    <m/>
  </r>
  <r>
    <s v="POST-60295"/>
    <x v="4"/>
    <d v="2024-02-03T00:00:00"/>
    <x v="0"/>
    <n v="8569"/>
    <n v="5583"/>
    <n v="211"/>
    <n v="114"/>
    <n v="20"/>
    <n v="4.026140739876298E-2"/>
    <n v="6.18"/>
    <n v="4.026140739876298E-2"/>
    <m/>
    <m/>
    <m/>
  </r>
  <r>
    <s v="POST-60296"/>
    <x v="3"/>
    <d v="2025-05-24T00:00:00"/>
    <x v="3"/>
    <n v="234440"/>
    <n v="94642"/>
    <n v="4690"/>
    <n v="1249"/>
    <n v="1602"/>
    <n v="3.2166012625831769E-2"/>
    <n v="7.97"/>
    <n v="3.2166012625831769E-2"/>
    <m/>
    <m/>
    <m/>
  </r>
  <r>
    <s v="POST-60297"/>
    <x v="1"/>
    <d v="2025-10-10T00:00:00"/>
    <x v="2"/>
    <n v="21886"/>
    <n v="12065"/>
    <n v="810"/>
    <n v="125"/>
    <n v="31"/>
    <n v="4.4137804989490999E-2"/>
    <n v="8.01"/>
    <n v="4.4137804989490999E-2"/>
    <m/>
    <m/>
    <m/>
  </r>
  <r>
    <s v="POST-60298"/>
    <x v="1"/>
    <d v="2024-04-15T00:00:00"/>
    <x v="4"/>
    <n v="46055"/>
    <n v="30899"/>
    <n v="925"/>
    <n v="408"/>
    <n v="128"/>
    <n v="3.1722939963087615E-2"/>
    <n v="4.7300000000000004"/>
    <n v="3.1722939963087615E-2"/>
    <m/>
    <m/>
    <m/>
  </r>
  <r>
    <s v="POST-60299"/>
    <x v="4"/>
    <d v="2024-02-14T00:00:00"/>
    <x v="2"/>
    <n v="32987"/>
    <n v="20391"/>
    <n v="898"/>
    <n v="496"/>
    <n v="105"/>
    <n v="4.5442143874859793E-2"/>
    <n v="7.35"/>
    <n v="4.5442143874859793E-2"/>
    <m/>
    <m/>
    <m/>
  </r>
  <r>
    <s v="POST-60300"/>
    <x v="1"/>
    <d v="2024-09-19T00:00:00"/>
    <x v="1"/>
    <n v="19452"/>
    <n v="12056"/>
    <n v="928"/>
    <n v="152"/>
    <n v="26"/>
    <n v="5.6857906641990544E-2"/>
    <n v="9.17"/>
    <n v="5.6857906641990544E-2"/>
    <m/>
    <m/>
    <m/>
  </r>
  <r>
    <s v="POST-60301"/>
    <x v="0"/>
    <d v="2024-01-06T00:00:00"/>
    <x v="2"/>
    <n v="39173"/>
    <n v="14507"/>
    <n v="674"/>
    <n v="179"/>
    <n v="428"/>
    <n v="3.2701095142062132E-2"/>
    <n v="8.83"/>
    <n v="3.2701095142062132E-2"/>
    <m/>
    <m/>
    <m/>
  </r>
  <r>
    <s v="POST-60302"/>
    <x v="2"/>
    <d v="2025-12-25T00:00:00"/>
    <x v="2"/>
    <n v="7902"/>
    <n v="6279"/>
    <n v="145"/>
    <n v="34"/>
    <n v="106"/>
    <n v="3.6066818526955202E-2"/>
    <n v="4.54"/>
    <n v="3.6066818526955202E-2"/>
    <m/>
    <m/>
    <m/>
  </r>
  <r>
    <s v="POST-60303"/>
    <x v="3"/>
    <d v="2025-07-18T00:00:00"/>
    <x v="2"/>
    <n v="179612"/>
    <n v="121236"/>
    <n v="13155"/>
    <n v="2428"/>
    <n v="1907"/>
    <n v="9.7376567267220451E-2"/>
    <n v="14.43"/>
    <n v="9.7376567267220451E-2"/>
    <m/>
    <m/>
    <m/>
  </r>
  <r>
    <s v="POST-60304"/>
    <x v="4"/>
    <d v="2025-12-07T00:00:00"/>
    <x v="1"/>
    <n v="13777"/>
    <n v="10680"/>
    <n v="458"/>
    <n v="101"/>
    <n v="126"/>
    <n v="4.9720548740654714E-2"/>
    <n v="6.41"/>
    <n v="4.9720548740654714E-2"/>
    <m/>
    <m/>
    <m/>
  </r>
  <r>
    <s v="POST-60305"/>
    <x v="1"/>
    <d v="2024-01-28T00:00:00"/>
    <x v="2"/>
    <n v="21373"/>
    <n v="11115"/>
    <n v="472"/>
    <n v="31"/>
    <n v="34"/>
    <n v="2.5125157909512003E-2"/>
    <n v="4.83"/>
    <n v="2.5125157909512003E-2"/>
    <m/>
    <m/>
    <m/>
  </r>
  <r>
    <s v="POST-60306"/>
    <x v="0"/>
    <d v="2025-02-24T00:00:00"/>
    <x v="2"/>
    <n v="17863"/>
    <n v="6969"/>
    <n v="286"/>
    <n v="48"/>
    <n v="141"/>
    <n v="2.6591278060796059E-2"/>
    <n v="6.82"/>
    <n v="2.6591278060796059E-2"/>
    <m/>
    <m/>
    <m/>
  </r>
  <r>
    <s v="POST-60307"/>
    <x v="2"/>
    <d v="2024-08-04T00:00:00"/>
    <x v="1"/>
    <n v="805"/>
    <n v="681"/>
    <n v="13"/>
    <n v="0"/>
    <n v="12"/>
    <n v="3.1055900621118012E-2"/>
    <n v="3.67"/>
    <n v="3.1055900621118012E-2"/>
    <m/>
    <m/>
    <m/>
  </r>
  <r>
    <s v="POST-60308"/>
    <x v="0"/>
    <d v="2024-02-24T00:00:00"/>
    <x v="0"/>
    <n v="22335"/>
    <n v="7481"/>
    <n v="117"/>
    <n v="51"/>
    <n v="202"/>
    <n v="1.6565927915827176E-2"/>
    <n v="4.95"/>
    <n v="1.6565927915827176E-2"/>
    <m/>
    <m/>
    <m/>
  </r>
  <r>
    <s v="POST-60309"/>
    <x v="4"/>
    <d v="2024-01-30T00:00:00"/>
    <x v="2"/>
    <n v="21766"/>
    <n v="17113"/>
    <n v="572"/>
    <n v="249"/>
    <n v="239"/>
    <n v="4.8699807038500416E-2"/>
    <n v="6.19"/>
    <n v="4.8699807038500416E-2"/>
    <m/>
    <m/>
    <m/>
  </r>
  <r>
    <s v="POST-60310"/>
    <x v="3"/>
    <d v="2025-12-12T00:00:00"/>
    <x v="3"/>
    <n v="221514"/>
    <n v="79009"/>
    <n v="4522"/>
    <n v="723"/>
    <n v="3424"/>
    <n v="3.9135223958756557E-2"/>
    <n v="10.97"/>
    <n v="3.9135223958756557E-2"/>
    <m/>
    <m/>
    <m/>
  </r>
  <r>
    <s v="POST-60311"/>
    <x v="3"/>
    <d v="2024-04-21T00:00:00"/>
    <x v="2"/>
    <n v="486111"/>
    <n v="244556"/>
    <n v="28634"/>
    <n v="6389"/>
    <n v="6666"/>
    <n v="8.5760248173771009E-2"/>
    <n v="17.05"/>
    <n v="8.5760248173771009E-2"/>
    <m/>
    <m/>
    <m/>
  </r>
  <r>
    <s v="POST-60312"/>
    <x v="1"/>
    <d v="2024-10-16T00:00:00"/>
    <x v="3"/>
    <n v="25657"/>
    <n v="12582"/>
    <n v="378"/>
    <n v="143"/>
    <n v="70"/>
    <n v="2.3034649413415442E-2"/>
    <n v="4.7"/>
    <n v="2.3034649413415442E-2"/>
    <m/>
    <m/>
    <m/>
  </r>
  <r>
    <s v="POST-60313"/>
    <x v="3"/>
    <d v="2025-10-25T00:00:00"/>
    <x v="3"/>
    <n v="217580"/>
    <n v="151146"/>
    <n v="8855"/>
    <n v="3232"/>
    <n v="3214"/>
    <n v="7.0323559150657231E-2"/>
    <n v="10.119999999999999"/>
    <n v="7.0323559150657231E-2"/>
    <m/>
    <m/>
    <m/>
  </r>
  <r>
    <s v="POST-60314"/>
    <x v="1"/>
    <d v="2024-11-11T00:00:00"/>
    <x v="4"/>
    <n v="34200"/>
    <n v="16557"/>
    <n v="538"/>
    <n v="120"/>
    <n v="128"/>
    <n v="2.2982456140350879E-2"/>
    <n v="4.75"/>
    <n v="2.2982456140350879E-2"/>
    <m/>
    <m/>
    <m/>
  </r>
  <r>
    <s v="POST-60315"/>
    <x v="0"/>
    <d v="2025-01-12T00:00:00"/>
    <x v="1"/>
    <n v="3795"/>
    <n v="1430"/>
    <n v="25"/>
    <n v="17"/>
    <n v="35"/>
    <n v="2.0289855072463767E-2"/>
    <n v="5.38"/>
    <n v="2.0289855072463767E-2"/>
    <m/>
    <m/>
    <m/>
  </r>
  <r>
    <s v="POST-60316"/>
    <x v="1"/>
    <d v="2024-09-21T00:00:00"/>
    <x v="3"/>
    <n v="94750"/>
    <n v="68512"/>
    <n v="2924"/>
    <n v="257"/>
    <n v="590"/>
    <n v="3.9799472295514511E-2"/>
    <n v="5.5"/>
    <n v="3.9799472295514511E-2"/>
    <m/>
    <m/>
    <m/>
  </r>
  <r>
    <s v="POST-60317"/>
    <x v="3"/>
    <d v="2025-04-16T00:00:00"/>
    <x v="3"/>
    <n v="306186"/>
    <n v="114749"/>
    <n v="11613"/>
    <n v="2656"/>
    <n v="1592"/>
    <n v="5.1801845936783525E-2"/>
    <n v="13.82"/>
    <n v="5.1801845936783525E-2"/>
    <m/>
    <m/>
    <m/>
  </r>
  <r>
    <s v="POST-60318"/>
    <x v="2"/>
    <d v="2024-12-23T00:00:00"/>
    <x v="0"/>
    <n v="13381"/>
    <n v="11208"/>
    <n v="181"/>
    <n v="44"/>
    <n v="92"/>
    <n v="2.3690307151931843E-2"/>
    <n v="2.83"/>
    <n v="2.3690307151931843E-2"/>
    <m/>
    <m/>
    <m/>
  </r>
  <r>
    <s v="POST-60319"/>
    <x v="2"/>
    <d v="2024-07-22T00:00:00"/>
    <x v="0"/>
    <n v="4088"/>
    <n v="2737"/>
    <n v="22"/>
    <n v="14"/>
    <n v="35"/>
    <n v="1.7367906066536203E-2"/>
    <n v="2.59"/>
    <n v="1.7367906066536203E-2"/>
    <m/>
    <m/>
    <m/>
  </r>
  <r>
    <s v="POST-60320"/>
    <x v="3"/>
    <d v="2025-02-05T00:00:00"/>
    <x v="2"/>
    <n v="5598"/>
    <n v="3682"/>
    <n v="386"/>
    <n v="49"/>
    <n v="103"/>
    <n v="9.6105752054305105E-2"/>
    <n v="14.61"/>
    <n v="9.6105752054305105E-2"/>
    <m/>
    <m/>
    <m/>
  </r>
  <r>
    <s v="POST-60321"/>
    <x v="3"/>
    <d v="2025-04-15T00:00:00"/>
    <x v="2"/>
    <n v="306705"/>
    <n v="134992"/>
    <n v="9568"/>
    <n v="3423"/>
    <n v="4805"/>
    <n v="5.8023181884873085E-2"/>
    <n v="13.18"/>
    <n v="5.8023181884873085E-2"/>
    <m/>
    <m/>
    <m/>
  </r>
  <r>
    <s v="POST-60322"/>
    <x v="4"/>
    <d v="2025-09-15T00:00:00"/>
    <x v="2"/>
    <n v="30792"/>
    <n v="12851"/>
    <n v="505"/>
    <n v="316"/>
    <n v="165"/>
    <n v="3.2021304234866196E-2"/>
    <n v="7.67"/>
    <n v="3.2021304234866196E-2"/>
    <m/>
    <m/>
    <m/>
  </r>
  <r>
    <s v="POST-60323"/>
    <x v="1"/>
    <d v="2025-03-30T00:00:00"/>
    <x v="3"/>
    <n v="73153"/>
    <n v="56905"/>
    <n v="1484"/>
    <n v="708"/>
    <n v="160"/>
    <n v="3.2151791450794907E-2"/>
    <n v="4.13"/>
    <n v="3.2151791450794907E-2"/>
    <m/>
    <m/>
    <m/>
  </r>
  <r>
    <s v="POST-60324"/>
    <x v="0"/>
    <d v="2024-11-28T00:00:00"/>
    <x v="1"/>
    <n v="10732"/>
    <n v="3373"/>
    <n v="123"/>
    <n v="36"/>
    <n v="44"/>
    <n v="1.8915393216548639E-2"/>
    <n v="6.02"/>
    <n v="1.8915393216548639E-2"/>
    <m/>
    <m/>
    <m/>
  </r>
  <r>
    <s v="POST-60325"/>
    <x v="1"/>
    <d v="2024-09-11T00:00:00"/>
    <x v="2"/>
    <n v="93195"/>
    <n v="60976"/>
    <n v="3788"/>
    <n v="358"/>
    <n v="80"/>
    <n v="4.5345780353023231E-2"/>
    <n v="6.93"/>
    <n v="4.5345780353023231E-2"/>
    <m/>
    <m/>
    <m/>
  </r>
  <r>
    <s v="POST-60326"/>
    <x v="4"/>
    <d v="2024-04-04T00:00:00"/>
    <x v="1"/>
    <n v="17412"/>
    <n v="7956"/>
    <n v="294"/>
    <n v="74"/>
    <n v="45"/>
    <n v="2.3719274063864003E-2"/>
    <n v="5.19"/>
    <n v="2.3719274063864003E-2"/>
    <m/>
    <m/>
    <m/>
  </r>
  <r>
    <s v="POST-60327"/>
    <x v="1"/>
    <d v="2025-03-17T00:00:00"/>
    <x v="4"/>
    <n v="25766"/>
    <n v="17472"/>
    <n v="398"/>
    <n v="35"/>
    <n v="33"/>
    <n v="1.808584956919972E-2"/>
    <n v="2.67"/>
    <n v="1.808584956919972E-2"/>
    <m/>
    <m/>
    <m/>
  </r>
  <r>
    <s v="POST-60328"/>
    <x v="4"/>
    <d v="2025-04-05T00:00:00"/>
    <x v="4"/>
    <n v="21648"/>
    <n v="14255"/>
    <n v="236"/>
    <n v="212"/>
    <n v="114"/>
    <n v="2.5960827790096081E-2"/>
    <n v="3.94"/>
    <n v="2.5960827790096081E-2"/>
    <m/>
    <m/>
    <m/>
  </r>
  <r>
    <s v="POST-60329"/>
    <x v="0"/>
    <d v="2025-10-08T00:00:00"/>
    <x v="4"/>
    <n v="19688"/>
    <n v="9234"/>
    <n v="144"/>
    <n v="38"/>
    <n v="143"/>
    <n v="1.6507517269402684E-2"/>
    <n v="3.52"/>
    <n v="1.6507517269402684E-2"/>
    <m/>
    <m/>
    <m/>
  </r>
  <r>
    <s v="POST-60330"/>
    <x v="0"/>
    <d v="2025-11-21T00:00:00"/>
    <x v="0"/>
    <n v="8513"/>
    <n v="5731"/>
    <n v="225"/>
    <n v="19"/>
    <n v="32"/>
    <n v="3.2421003171619875E-2"/>
    <n v="4.82"/>
    <n v="3.2421003171619875E-2"/>
    <m/>
    <m/>
    <m/>
  </r>
  <r>
    <s v="POST-60331"/>
    <x v="3"/>
    <d v="2024-10-26T00:00:00"/>
    <x v="3"/>
    <n v="316751"/>
    <n v="111513"/>
    <n v="8271"/>
    <n v="2148"/>
    <n v="5564"/>
    <n v="5.0459193498994477E-2"/>
    <n v="14.33"/>
    <n v="5.0459193498994477E-2"/>
    <m/>
    <m/>
    <m/>
  </r>
  <r>
    <s v="POST-60332"/>
    <x v="4"/>
    <d v="2024-11-06T00:00:00"/>
    <x v="0"/>
    <n v="10552"/>
    <n v="7876"/>
    <n v="129"/>
    <n v="174"/>
    <n v="50"/>
    <n v="3.3453373768006063E-2"/>
    <n v="4.4800000000000004"/>
    <n v="3.3453373768006063E-2"/>
    <m/>
    <m/>
    <m/>
  </r>
  <r>
    <s v="POST-60333"/>
    <x v="4"/>
    <d v="2025-11-12T00:00:00"/>
    <x v="4"/>
    <n v="19145"/>
    <n v="14594"/>
    <n v="481"/>
    <n v="185"/>
    <n v="191"/>
    <n v="4.4763645860538E-2"/>
    <n v="5.87"/>
    <n v="4.4763645860538E-2"/>
    <m/>
    <m/>
    <m/>
  </r>
  <r>
    <s v="POST-60334"/>
    <x v="0"/>
    <d v="2024-04-17T00:00:00"/>
    <x v="4"/>
    <n v="9138"/>
    <n v="4166"/>
    <n v="199"/>
    <n v="16"/>
    <n v="57"/>
    <n v="2.9765813088203107E-2"/>
    <n v="6.53"/>
    <n v="2.9765813088203107E-2"/>
    <m/>
    <m/>
    <m/>
  </r>
  <r>
    <s v="POST-60335"/>
    <x v="0"/>
    <d v="2025-08-20T00:00:00"/>
    <x v="4"/>
    <n v="11044"/>
    <n v="5138"/>
    <n v="96"/>
    <n v="25"/>
    <n v="126"/>
    <n v="2.2365085114089099E-2"/>
    <n v="4.8099999999999996"/>
    <n v="2.2365085114089099E-2"/>
    <m/>
    <m/>
    <m/>
  </r>
  <r>
    <s v="POST-60336"/>
    <x v="2"/>
    <d v="2025-09-09T00:00:00"/>
    <x v="0"/>
    <n v="12620"/>
    <n v="6694"/>
    <n v="170"/>
    <n v="35"/>
    <n v="66"/>
    <n v="2.1473851030110937E-2"/>
    <n v="4.05"/>
    <n v="2.1473851030110937E-2"/>
    <m/>
    <m/>
    <m/>
  </r>
  <r>
    <s v="POST-60337"/>
    <x v="3"/>
    <d v="2025-10-18T00:00:00"/>
    <x v="2"/>
    <n v="247191"/>
    <n v="128198"/>
    <n v="5433"/>
    <n v="2339"/>
    <n v="2598"/>
    <n v="4.1951365543243892E-2"/>
    <n v="8.09"/>
    <n v="4.1951365543243892E-2"/>
    <m/>
    <m/>
    <m/>
  </r>
  <r>
    <s v="POST-60338"/>
    <x v="4"/>
    <d v="2025-10-22T00:00:00"/>
    <x v="4"/>
    <n v="31709"/>
    <n v="25229"/>
    <n v="1330"/>
    <n v="383"/>
    <n v="261"/>
    <n v="6.2253618846384307E-2"/>
    <n v="7.82"/>
    <n v="6.2253618846384307E-2"/>
    <m/>
    <m/>
    <m/>
  </r>
  <r>
    <s v="POST-60339"/>
    <x v="0"/>
    <d v="2024-06-09T00:00:00"/>
    <x v="0"/>
    <n v="29217"/>
    <n v="17521"/>
    <n v="533"/>
    <n v="125"/>
    <n v="231"/>
    <n v="3.0427490844371428E-2"/>
    <n v="5.07"/>
    <n v="3.0427490844371428E-2"/>
    <m/>
    <m/>
    <m/>
  </r>
  <r>
    <s v="POST-60340"/>
    <x v="1"/>
    <d v="2025-03-28T00:00:00"/>
    <x v="1"/>
    <n v="8066"/>
    <n v="4863"/>
    <n v="215"/>
    <n v="20"/>
    <n v="17"/>
    <n v="3.1242251425737666E-2"/>
    <n v="5.18"/>
    <n v="3.1242251425737666E-2"/>
    <m/>
    <m/>
    <m/>
  </r>
  <r>
    <s v="POST-60341"/>
    <x v="3"/>
    <d v="2025-12-11T00:00:00"/>
    <x v="2"/>
    <n v="264047"/>
    <n v="81476"/>
    <n v="3479"/>
    <n v="618"/>
    <n v="2604"/>
    <n v="2.5378057694274127E-2"/>
    <n v="8.2200000000000006"/>
    <n v="2.5378057694274127E-2"/>
    <m/>
    <m/>
    <m/>
  </r>
  <r>
    <s v="POST-60342"/>
    <x v="4"/>
    <d v="2024-11-14T00:00:00"/>
    <x v="1"/>
    <n v="13164"/>
    <n v="10464"/>
    <n v="408"/>
    <n v="208"/>
    <n v="78"/>
    <n v="5.2719538134305681E-2"/>
    <n v="6.63"/>
    <n v="5.2719538134305681E-2"/>
    <m/>
    <m/>
    <m/>
  </r>
  <r>
    <s v="POST-60343"/>
    <x v="3"/>
    <d v="2025-05-07T00:00:00"/>
    <x v="3"/>
    <n v="56416"/>
    <n v="35535"/>
    <n v="3399"/>
    <n v="1056"/>
    <n v="1427"/>
    <n v="0.10426120249574589"/>
    <n v="16.55"/>
    <n v="0.10426120249574589"/>
    <m/>
    <m/>
    <m/>
  </r>
  <r>
    <s v="POST-60344"/>
    <x v="0"/>
    <d v="2024-04-08T00:00:00"/>
    <x v="1"/>
    <n v="28841"/>
    <n v="15199"/>
    <n v="437"/>
    <n v="62"/>
    <n v="345"/>
    <n v="2.926389514926667E-2"/>
    <n v="5.55"/>
    <n v="2.926389514926667E-2"/>
    <m/>
    <m/>
    <m/>
  </r>
  <r>
    <s v="POST-60345"/>
    <x v="3"/>
    <d v="2025-02-15T00:00:00"/>
    <x v="3"/>
    <n v="214985"/>
    <n v="119268"/>
    <n v="6728"/>
    <n v="1472"/>
    <n v="5666"/>
    <n v="6.4497523083005798E-2"/>
    <n v="11.63"/>
    <n v="6.4497523083005798E-2"/>
    <m/>
    <m/>
    <m/>
  </r>
  <r>
    <s v="POST-60346"/>
    <x v="0"/>
    <d v="2024-04-28T00:00:00"/>
    <x v="4"/>
    <n v="31504"/>
    <n v="10696"/>
    <n v="231"/>
    <n v="128"/>
    <n v="219"/>
    <n v="1.8346876587100051E-2"/>
    <n v="5.4"/>
    <n v="1.8346876587100051E-2"/>
    <m/>
    <m/>
    <m/>
  </r>
  <r>
    <s v="POST-60347"/>
    <x v="3"/>
    <d v="2024-06-26T00:00:00"/>
    <x v="3"/>
    <n v="102103"/>
    <n v="54662"/>
    <n v="2050"/>
    <n v="308"/>
    <n v="1227"/>
    <n v="3.5111602989138416E-2"/>
    <n v="6.56"/>
    <n v="3.5111602989138416E-2"/>
    <m/>
    <m/>
    <m/>
  </r>
  <r>
    <s v="POST-60348"/>
    <x v="2"/>
    <d v="2025-10-12T00:00:00"/>
    <x v="0"/>
    <n v="19717"/>
    <n v="14350"/>
    <n v="404"/>
    <n v="78"/>
    <n v="69"/>
    <n v="2.7945427803418368E-2"/>
    <n v="3.84"/>
    <n v="2.7945427803418368E-2"/>
    <m/>
    <m/>
    <m/>
  </r>
  <r>
    <s v="POST-60349"/>
    <x v="1"/>
    <d v="2024-09-10T00:00:00"/>
    <x v="4"/>
    <n v="7459"/>
    <n v="4885"/>
    <n v="118"/>
    <n v="27"/>
    <n v="33"/>
    <n v="2.3863788711623542E-2"/>
    <n v="3.64"/>
    <n v="2.3863788711623542E-2"/>
    <m/>
    <m/>
    <m/>
  </r>
  <r>
    <s v="POST-60350"/>
    <x v="2"/>
    <d v="2025-03-06T00:00:00"/>
    <x v="1"/>
    <n v="22811"/>
    <n v="18298"/>
    <n v="108"/>
    <n v="101"/>
    <n v="201"/>
    <n v="1.7973784577616062E-2"/>
    <n v="2.2400000000000002"/>
    <n v="1.7973784577616062E-2"/>
    <m/>
    <m/>
    <m/>
  </r>
  <r>
    <s v="POST-60351"/>
    <x v="1"/>
    <d v="2025-01-04T00:00:00"/>
    <x v="4"/>
    <n v="73989"/>
    <n v="54712"/>
    <n v="1906"/>
    <n v="183"/>
    <n v="526"/>
    <n v="3.5343091540634419E-2"/>
    <n v="4.78"/>
    <n v="3.5343091540634419E-2"/>
    <m/>
    <m/>
    <m/>
  </r>
  <r>
    <s v="POST-60352"/>
    <x v="4"/>
    <d v="2025-02-23T00:00:00"/>
    <x v="2"/>
    <n v="2343"/>
    <n v="1773"/>
    <n v="62"/>
    <n v="23"/>
    <n v="8"/>
    <n v="3.9692701664532648E-2"/>
    <n v="5.25"/>
    <n v="3.9692701664532648E-2"/>
    <m/>
    <m/>
    <m/>
  </r>
  <r>
    <s v="POST-60353"/>
    <x v="1"/>
    <d v="2025-06-06T00:00:00"/>
    <x v="4"/>
    <n v="66048"/>
    <n v="36305"/>
    <n v="1924"/>
    <n v="108"/>
    <n v="339"/>
    <n v="3.5898134689922478E-2"/>
    <n v="6.53"/>
    <n v="3.5898134689922478E-2"/>
    <m/>
    <m/>
    <m/>
  </r>
  <r>
    <s v="POST-60354"/>
    <x v="1"/>
    <d v="2024-05-07T00:00:00"/>
    <x v="4"/>
    <n v="27305"/>
    <n v="17772"/>
    <n v="659"/>
    <n v="261"/>
    <n v="143"/>
    <n v="3.893059879143014E-2"/>
    <n v="5.98"/>
    <n v="3.893059879143014E-2"/>
    <m/>
    <m/>
    <m/>
  </r>
  <r>
    <s v="POST-60355"/>
    <x v="3"/>
    <d v="2024-10-13T00:00:00"/>
    <x v="2"/>
    <n v="361953"/>
    <n v="125768"/>
    <n v="4600"/>
    <n v="3755"/>
    <n v="4516"/>
    <n v="3.5559865507400132E-2"/>
    <n v="10.23"/>
    <n v="3.5559865507400132E-2"/>
    <m/>
    <m/>
    <m/>
  </r>
  <r>
    <s v="POST-60356"/>
    <x v="3"/>
    <d v="2025-09-20T00:00:00"/>
    <x v="2"/>
    <n v="263357"/>
    <n v="95152"/>
    <n v="2884"/>
    <n v="2099"/>
    <n v="2917"/>
    <n v="2.9997304039763514E-2"/>
    <n v="8.3000000000000007"/>
    <n v="2.9997304039763514E-2"/>
    <m/>
    <m/>
    <m/>
  </r>
  <r>
    <s v="POST-60357"/>
    <x v="1"/>
    <d v="2024-04-24T00:00:00"/>
    <x v="1"/>
    <n v="23966"/>
    <n v="17467"/>
    <n v="901"/>
    <n v="248"/>
    <n v="73"/>
    <n v="5.0988900943002589E-2"/>
    <n v="7"/>
    <n v="5.0988900943002589E-2"/>
    <m/>
    <m/>
    <m/>
  </r>
  <r>
    <s v="POST-60358"/>
    <x v="1"/>
    <d v="2024-03-13T00:00:00"/>
    <x v="4"/>
    <n v="52418"/>
    <n v="25581"/>
    <n v="572"/>
    <n v="122"/>
    <n v="122"/>
    <n v="1.5567171582280897E-2"/>
    <n v="3.19"/>
    <n v="1.5567171582280897E-2"/>
    <m/>
    <m/>
    <m/>
  </r>
  <r>
    <s v="POST-60359"/>
    <x v="0"/>
    <d v="2024-01-06T00:00:00"/>
    <x v="4"/>
    <n v="31576"/>
    <n v="10027"/>
    <n v="190"/>
    <n v="74"/>
    <n v="116"/>
    <n v="1.2034456549277933E-2"/>
    <n v="3.79"/>
    <n v="1.2034456549277933E-2"/>
    <m/>
    <m/>
    <m/>
  </r>
  <r>
    <s v="POST-60360"/>
    <x v="1"/>
    <d v="2025-10-02T00:00:00"/>
    <x v="3"/>
    <n v="87496"/>
    <n v="66728"/>
    <n v="2518"/>
    <n v="635"/>
    <n v="565"/>
    <n v="4.2493371125537166E-2"/>
    <n v="5.57"/>
    <n v="4.2493371125537166E-2"/>
    <m/>
    <m/>
    <m/>
  </r>
  <r>
    <s v="POST-60361"/>
    <x v="1"/>
    <d v="2025-10-17T00:00:00"/>
    <x v="3"/>
    <n v="43720"/>
    <n v="34730"/>
    <n v="779"/>
    <n v="414"/>
    <n v="346"/>
    <n v="3.520128087831656E-2"/>
    <n v="4.43"/>
    <n v="3.520128087831656E-2"/>
    <m/>
    <m/>
    <m/>
  </r>
  <r>
    <s v="POST-60362"/>
    <x v="4"/>
    <d v="2024-12-23T00:00:00"/>
    <x v="1"/>
    <n v="12715"/>
    <n v="7180"/>
    <n v="301"/>
    <n v="39"/>
    <n v="79"/>
    <n v="3.2953204876130557E-2"/>
    <n v="5.84"/>
    <n v="3.2953204876130557E-2"/>
    <m/>
    <m/>
    <m/>
  </r>
  <r>
    <s v="POST-60363"/>
    <x v="3"/>
    <d v="2024-08-09T00:00:00"/>
    <x v="3"/>
    <n v="432919"/>
    <n v="263375"/>
    <n v="29207"/>
    <n v="5184"/>
    <n v="12263"/>
    <n v="0.10776611791120279"/>
    <n v="17.71"/>
    <n v="0.10776611791120279"/>
    <m/>
    <m/>
    <m/>
  </r>
  <r>
    <s v="POST-60364"/>
    <x v="0"/>
    <d v="2025-11-25T00:00:00"/>
    <x v="1"/>
    <n v="18210"/>
    <n v="9939"/>
    <n v="359"/>
    <n v="152"/>
    <n v="64"/>
    <n v="3.1576057111477207E-2"/>
    <n v="5.79"/>
    <n v="3.1576057111477207E-2"/>
    <m/>
    <m/>
    <m/>
  </r>
  <r>
    <s v="POST-60365"/>
    <x v="0"/>
    <d v="2025-07-12T00:00:00"/>
    <x v="1"/>
    <n v="2650"/>
    <n v="1102"/>
    <n v="40"/>
    <n v="11"/>
    <n v="24"/>
    <n v="2.8301886792452831E-2"/>
    <n v="6.81"/>
    <n v="2.8301886792452831E-2"/>
    <m/>
    <m/>
    <m/>
  </r>
  <r>
    <s v="POST-60366"/>
    <x v="3"/>
    <d v="2025-04-07T00:00:00"/>
    <x v="3"/>
    <n v="89043"/>
    <n v="57240"/>
    <n v="2889"/>
    <n v="744"/>
    <n v="966"/>
    <n v="5.1649203193962469E-2"/>
    <n v="8.0299999999999994"/>
    <n v="5.1649203193962469E-2"/>
    <m/>
    <m/>
    <m/>
  </r>
  <r>
    <s v="POST-60367"/>
    <x v="0"/>
    <d v="2025-05-15T00:00:00"/>
    <x v="2"/>
    <n v="32036"/>
    <n v="18733"/>
    <n v="743"/>
    <n v="277"/>
    <n v="110"/>
    <n v="3.527281807966038E-2"/>
    <n v="6.03"/>
    <n v="3.527281807966038E-2"/>
    <m/>
    <m/>
    <m/>
  </r>
  <r>
    <s v="POST-60368"/>
    <x v="3"/>
    <d v="2025-04-23T00:00:00"/>
    <x v="3"/>
    <n v="162673"/>
    <n v="75395"/>
    <n v="7190"/>
    <n v="1831"/>
    <n v="2015"/>
    <n v="6.7841620920496948E-2"/>
    <n v="14.64"/>
    <n v="6.7841620920496948E-2"/>
    <m/>
    <m/>
    <m/>
  </r>
  <r>
    <s v="POST-60369"/>
    <x v="1"/>
    <d v="2025-09-28T00:00:00"/>
    <x v="2"/>
    <n v="31659"/>
    <n v="15454"/>
    <n v="520"/>
    <n v="103"/>
    <n v="117"/>
    <n v="2.3374080040430841E-2"/>
    <n v="4.79"/>
    <n v="2.3374080040430841E-2"/>
    <m/>
    <m/>
    <m/>
  </r>
  <r>
    <s v="POST-60370"/>
    <x v="3"/>
    <d v="2025-06-09T00:00:00"/>
    <x v="2"/>
    <n v="280772"/>
    <n v="95901"/>
    <n v="8535"/>
    <n v="2589"/>
    <n v="1470"/>
    <n v="4.4854900061259667E-2"/>
    <n v="13.13"/>
    <n v="4.4854900061259667E-2"/>
    <m/>
    <m/>
    <m/>
  </r>
  <r>
    <s v="POST-60371"/>
    <x v="3"/>
    <d v="2025-07-23T00:00:00"/>
    <x v="2"/>
    <n v="28931"/>
    <n v="14251"/>
    <n v="1634"/>
    <n v="204"/>
    <n v="597"/>
    <n v="8.4165773737513397E-2"/>
    <n v="17.09"/>
    <n v="8.4165773737513397E-2"/>
    <m/>
    <m/>
    <m/>
  </r>
  <r>
    <s v="POST-60372"/>
    <x v="3"/>
    <d v="2024-07-06T00:00:00"/>
    <x v="2"/>
    <n v="48646"/>
    <n v="15711"/>
    <n v="1465"/>
    <n v="141"/>
    <n v="499"/>
    <n v="4.3271800353574807E-2"/>
    <n v="13.4"/>
    <n v="4.3271800353574807E-2"/>
    <m/>
    <m/>
    <m/>
  </r>
  <r>
    <s v="POST-60373"/>
    <x v="3"/>
    <d v="2025-10-01T00:00:00"/>
    <x v="3"/>
    <n v="185450"/>
    <n v="104771"/>
    <n v="11675"/>
    <n v="1750"/>
    <n v="5190"/>
    <n v="0.10037746023186843"/>
    <n v="17.77"/>
    <n v="0.10037746023186843"/>
    <m/>
    <m/>
    <m/>
  </r>
  <r>
    <s v="POST-60374"/>
    <x v="1"/>
    <d v="2025-11-01T00:00:00"/>
    <x v="1"/>
    <n v="4906"/>
    <n v="2588"/>
    <n v="151"/>
    <n v="33"/>
    <n v="17"/>
    <n v="4.0970240521810031E-2"/>
    <n v="7.77"/>
    <n v="4.0970240521810031E-2"/>
    <m/>
    <m/>
    <m/>
  </r>
  <r>
    <s v="POST-60375"/>
    <x v="0"/>
    <d v="2024-03-05T00:00:00"/>
    <x v="2"/>
    <n v="85302"/>
    <n v="32381"/>
    <n v="1051"/>
    <n v="160"/>
    <n v="503"/>
    <n v="2.0093315514290402E-2"/>
    <n v="5.29"/>
    <n v="2.0093315514290402E-2"/>
    <m/>
    <m/>
    <m/>
  </r>
  <r>
    <s v="POST-60376"/>
    <x v="0"/>
    <d v="2025-03-27T00:00:00"/>
    <x v="2"/>
    <n v="36362"/>
    <n v="22850"/>
    <n v="994"/>
    <n v="361"/>
    <n v="578"/>
    <n v="5.3159892195148779E-2"/>
    <n v="8.4600000000000009"/>
    <n v="5.3159892195148779E-2"/>
    <m/>
    <m/>
    <m/>
  </r>
  <r>
    <s v="POST-60377"/>
    <x v="2"/>
    <d v="2024-09-02T00:00:00"/>
    <x v="1"/>
    <n v="19564"/>
    <n v="14673"/>
    <n v="312"/>
    <n v="19"/>
    <n v="39"/>
    <n v="1.8912287875690045E-2"/>
    <n v="2.52"/>
    <n v="1.8912287875690045E-2"/>
    <m/>
    <m/>
    <m/>
  </r>
  <r>
    <s v="POST-60378"/>
    <x v="3"/>
    <d v="2025-01-24T00:00:00"/>
    <x v="3"/>
    <n v="142015"/>
    <n v="97331"/>
    <n v="11113"/>
    <n v="2751"/>
    <n v="3416"/>
    <n v="0.12167728761046369"/>
    <n v="17.75"/>
    <n v="0.12167728761046369"/>
    <m/>
    <m/>
    <m/>
  </r>
  <r>
    <s v="POST-60379"/>
    <x v="3"/>
    <d v="2024-01-29T00:00:00"/>
    <x v="2"/>
    <n v="396464"/>
    <n v="212977"/>
    <n v="20430"/>
    <n v="2808"/>
    <n v="4420"/>
    <n v="6.9761693369385369E-2"/>
    <n v="12.99"/>
    <n v="6.9761693369385369E-2"/>
    <m/>
    <m/>
    <m/>
  </r>
  <r>
    <s v="POST-60380"/>
    <x v="1"/>
    <d v="2024-01-29T00:00:00"/>
    <x v="2"/>
    <n v="65239"/>
    <n v="26279"/>
    <n v="1270"/>
    <n v="138"/>
    <n v="249"/>
    <n v="2.5398917825227241E-2"/>
    <n v="6.31"/>
    <n v="2.5398917825227241E-2"/>
    <m/>
    <m/>
    <m/>
  </r>
  <r>
    <s v="POST-60381"/>
    <x v="3"/>
    <d v="2024-12-16T00:00:00"/>
    <x v="2"/>
    <n v="481371"/>
    <n v="293652"/>
    <n v="12277"/>
    <n v="2977"/>
    <n v="13325"/>
    <n v="5.9370007748701104E-2"/>
    <n v="9.73"/>
    <n v="5.9370007748701104E-2"/>
    <m/>
    <m/>
    <m/>
  </r>
  <r>
    <s v="POST-60382"/>
    <x v="4"/>
    <d v="2025-01-27T00:00:00"/>
    <x v="2"/>
    <n v="33792"/>
    <n v="18124"/>
    <n v="615"/>
    <n v="436"/>
    <n v="149"/>
    <n v="3.551136363636364E-2"/>
    <n v="6.62"/>
    <n v="3.551136363636364E-2"/>
    <m/>
    <m/>
    <m/>
  </r>
  <r>
    <s v="POST-60383"/>
    <x v="3"/>
    <d v="2024-07-05T00:00:00"/>
    <x v="3"/>
    <n v="273471"/>
    <n v="103519"/>
    <n v="3885"/>
    <n v="2204"/>
    <n v="4347"/>
    <n v="3.8161267556706194E-2"/>
    <n v="10.08"/>
    <n v="3.8161267556706194E-2"/>
    <m/>
    <m/>
    <m/>
  </r>
  <r>
    <s v="POST-60384"/>
    <x v="1"/>
    <d v="2025-12-20T00:00:00"/>
    <x v="1"/>
    <n v="18169"/>
    <n v="12346"/>
    <n v="599"/>
    <n v="154"/>
    <n v="120"/>
    <n v="4.8048874456491829E-2"/>
    <n v="7.07"/>
    <n v="4.8048874456491829E-2"/>
    <m/>
    <m/>
    <m/>
  </r>
  <r>
    <s v="POST-60385"/>
    <x v="3"/>
    <d v="2025-04-24T00:00:00"/>
    <x v="3"/>
    <n v="219497"/>
    <n v="107091"/>
    <n v="4415"/>
    <n v="1194"/>
    <n v="1427"/>
    <n v="3.2055107814685395E-2"/>
    <n v="6.57"/>
    <n v="3.2055107814685395E-2"/>
    <m/>
    <m/>
    <m/>
  </r>
  <r>
    <s v="POST-60386"/>
    <x v="4"/>
    <d v="2025-06-07T00:00:00"/>
    <x v="1"/>
    <n v="9396"/>
    <n v="6993"/>
    <n v="331"/>
    <n v="161"/>
    <n v="55"/>
    <n v="5.8216262239250742E-2"/>
    <n v="7.82"/>
    <n v="5.8216262239250742E-2"/>
    <m/>
    <m/>
    <m/>
  </r>
  <r>
    <s v="POST-60387"/>
    <x v="1"/>
    <d v="2025-10-12T00:00:00"/>
    <x v="1"/>
    <n v="49233"/>
    <n v="30264"/>
    <n v="2221"/>
    <n v="448"/>
    <n v="279"/>
    <n v="5.9878536753803342E-2"/>
    <n v="9.74"/>
    <n v="5.9878536753803342E-2"/>
    <m/>
    <m/>
    <m/>
  </r>
  <r>
    <s v="POST-60388"/>
    <x v="0"/>
    <d v="2025-11-24T00:00:00"/>
    <x v="0"/>
    <n v="12764"/>
    <n v="6001"/>
    <n v="157"/>
    <n v="55"/>
    <n v="76"/>
    <n v="2.2563459730492008E-2"/>
    <n v="4.8"/>
    <n v="2.2563459730492008E-2"/>
    <m/>
    <m/>
    <m/>
  </r>
  <r>
    <s v="POST-60389"/>
    <x v="1"/>
    <d v="2025-06-08T00:00:00"/>
    <x v="4"/>
    <n v="64438"/>
    <n v="48960"/>
    <n v="2962"/>
    <n v="531"/>
    <n v="213"/>
    <n v="5.7512647816505787E-2"/>
    <n v="7.57"/>
    <n v="5.7512647816505787E-2"/>
    <m/>
    <m/>
    <m/>
  </r>
  <r>
    <s v="POST-60390"/>
    <x v="2"/>
    <d v="2025-02-16T00:00:00"/>
    <x v="2"/>
    <n v="18371"/>
    <n v="16355"/>
    <n v="376"/>
    <n v="28"/>
    <n v="65"/>
    <n v="2.5529366937020303E-2"/>
    <n v="2.87"/>
    <n v="2.5529366937020303E-2"/>
    <m/>
    <m/>
    <m/>
  </r>
  <r>
    <s v="POST-60391"/>
    <x v="1"/>
    <d v="2025-11-29T00:00:00"/>
    <x v="3"/>
    <n v="32912"/>
    <n v="20778"/>
    <n v="1433"/>
    <n v="190"/>
    <n v="55"/>
    <n v="5.0984443364122507E-2"/>
    <n v="8.08"/>
    <n v="5.0984443364122507E-2"/>
    <m/>
    <m/>
    <m/>
  </r>
  <r>
    <s v="POST-60392"/>
    <x v="0"/>
    <d v="2024-08-26T00:00:00"/>
    <x v="1"/>
    <n v="3002"/>
    <n v="1192"/>
    <n v="20"/>
    <n v="22"/>
    <n v="31"/>
    <n v="2.4317121918720853E-2"/>
    <n v="6.12"/>
    <n v="2.4317121918720853E-2"/>
    <m/>
    <m/>
    <m/>
  </r>
  <r>
    <s v="POST-60393"/>
    <x v="1"/>
    <d v="2024-06-30T00:00:00"/>
    <x v="4"/>
    <n v="32223"/>
    <n v="20809"/>
    <n v="652"/>
    <n v="263"/>
    <n v="160"/>
    <n v="3.3361263693634978E-2"/>
    <n v="5.17"/>
    <n v="3.3361263693634978E-2"/>
    <m/>
    <m/>
    <m/>
  </r>
  <r>
    <s v="POST-60394"/>
    <x v="1"/>
    <d v="2025-06-17T00:00:00"/>
    <x v="4"/>
    <n v="69821"/>
    <n v="36732"/>
    <n v="882"/>
    <n v="250"/>
    <n v="84"/>
    <n v="1.7415963678549435E-2"/>
    <n v="3.31"/>
    <n v="1.7415963678549435E-2"/>
    <m/>
    <m/>
    <m/>
  </r>
  <r>
    <s v="POST-60395"/>
    <x v="2"/>
    <d v="2024-05-29T00:00:00"/>
    <x v="1"/>
    <n v="12511"/>
    <n v="6678"/>
    <n v="169"/>
    <n v="42"/>
    <n v="126"/>
    <n v="2.6936296059467669E-2"/>
    <n v="5.05"/>
    <n v="2.6936296059467669E-2"/>
    <m/>
    <m/>
    <m/>
  </r>
  <r>
    <s v="POST-60396"/>
    <x v="4"/>
    <d v="2024-01-11T00:00:00"/>
    <x v="1"/>
    <n v="8567"/>
    <n v="5327"/>
    <n v="156"/>
    <n v="45"/>
    <n v="19"/>
    <n v="2.5679934632893663E-2"/>
    <n v="4.13"/>
    <n v="2.5679934632893663E-2"/>
    <m/>
    <m/>
    <m/>
  </r>
  <r>
    <s v="POST-60397"/>
    <x v="0"/>
    <d v="2025-02-07T00:00:00"/>
    <x v="4"/>
    <n v="31744"/>
    <n v="14540"/>
    <n v="478"/>
    <n v="203"/>
    <n v="290"/>
    <n v="3.0588457661290324E-2"/>
    <n v="6.68"/>
    <n v="3.0588457661290324E-2"/>
    <m/>
    <m/>
    <m/>
  </r>
  <r>
    <s v="POST-60398"/>
    <x v="4"/>
    <d v="2025-02-14T00:00:00"/>
    <x v="1"/>
    <n v="7127"/>
    <n v="5162"/>
    <n v="164"/>
    <n v="127"/>
    <n v="66"/>
    <n v="5.0091202469482253E-2"/>
    <n v="6.92"/>
    <n v="5.0091202469482253E-2"/>
    <m/>
    <m/>
    <m/>
  </r>
  <r>
    <s v="POST-60399"/>
    <x v="4"/>
    <d v="2025-05-02T00:00:00"/>
    <x v="2"/>
    <n v="21322"/>
    <n v="15829"/>
    <n v="310"/>
    <n v="374"/>
    <n v="89"/>
    <n v="3.6253634743457462E-2"/>
    <n v="4.88"/>
    <n v="3.6253634743457462E-2"/>
    <m/>
    <m/>
    <m/>
  </r>
  <r>
    <s v="POST-60400"/>
    <x v="2"/>
    <d v="2024-03-10T00:00:00"/>
    <x v="2"/>
    <n v="2785"/>
    <n v="2312"/>
    <n v="68"/>
    <n v="13"/>
    <n v="16"/>
    <n v="3.48294434470377E-2"/>
    <n v="4.2"/>
    <n v="3.48294434470377E-2"/>
    <m/>
    <m/>
    <m/>
  </r>
  <r>
    <s v="POST-60401"/>
    <x v="2"/>
    <d v="2025-06-18T00:00:00"/>
    <x v="1"/>
    <n v="6106"/>
    <n v="3287"/>
    <n v="57"/>
    <n v="26"/>
    <n v="41"/>
    <n v="2.0307893874877171E-2"/>
    <n v="3.77"/>
    <n v="2.0307893874877171E-2"/>
    <m/>
    <m/>
    <m/>
  </r>
  <r>
    <s v="POST-60402"/>
    <x v="3"/>
    <d v="2024-08-21T00:00:00"/>
    <x v="2"/>
    <n v="184139"/>
    <n v="107085"/>
    <n v="9649"/>
    <n v="1976"/>
    <n v="1806"/>
    <n v="7.2939464209102911E-2"/>
    <n v="12.54"/>
    <n v="7.2939464209102911E-2"/>
    <m/>
    <m/>
    <m/>
  </r>
  <r>
    <s v="POST-60403"/>
    <x v="4"/>
    <d v="2025-11-17T00:00:00"/>
    <x v="4"/>
    <n v="26764"/>
    <n v="10706"/>
    <n v="440"/>
    <n v="206"/>
    <n v="40"/>
    <n v="2.5631445224929009E-2"/>
    <n v="6.41"/>
    <n v="2.5631445224929009E-2"/>
    <m/>
    <m/>
    <m/>
  </r>
  <r>
    <s v="POST-60404"/>
    <x v="2"/>
    <d v="2024-10-22T00:00:00"/>
    <x v="2"/>
    <n v="49797"/>
    <n v="31336"/>
    <n v="561"/>
    <n v="147"/>
    <n v="573"/>
    <n v="2.5724441231399484E-2"/>
    <n v="4.09"/>
    <n v="2.5724441231399484E-2"/>
    <m/>
    <m/>
    <m/>
  </r>
  <r>
    <s v="POST-60405"/>
    <x v="1"/>
    <d v="2025-07-01T00:00:00"/>
    <x v="1"/>
    <n v="35525"/>
    <n v="25161"/>
    <n v="893"/>
    <n v="251"/>
    <n v="47"/>
    <n v="3.3525686136523576E-2"/>
    <n v="4.7300000000000004"/>
    <n v="3.3525686136523576E-2"/>
    <m/>
    <m/>
    <m/>
  </r>
  <r>
    <s v="POST-60406"/>
    <x v="1"/>
    <d v="2025-07-27T00:00:00"/>
    <x v="2"/>
    <n v="19195"/>
    <n v="15085"/>
    <n v="1100"/>
    <n v="42"/>
    <n v="87"/>
    <n v="6.4027090388121904E-2"/>
    <n v="8.15"/>
    <n v="6.4027090388121904E-2"/>
    <m/>
    <m/>
    <m/>
  </r>
  <r>
    <s v="POST-60407"/>
    <x v="3"/>
    <d v="2024-04-19T00:00:00"/>
    <x v="3"/>
    <n v="46574"/>
    <n v="18250"/>
    <n v="616"/>
    <n v="489"/>
    <n v="822"/>
    <n v="4.1375016103405333E-2"/>
    <n v="10.56"/>
    <n v="4.1375016103405333E-2"/>
    <m/>
    <m/>
    <m/>
  </r>
  <r>
    <s v="POST-60408"/>
    <x v="2"/>
    <d v="2024-09-05T00:00:00"/>
    <x v="2"/>
    <n v="11288"/>
    <n v="9803"/>
    <n v="183"/>
    <n v="71"/>
    <n v="172"/>
    <n v="3.7739192062367116E-2"/>
    <n v="4.3499999999999996"/>
    <n v="3.7739192062367116E-2"/>
    <m/>
    <m/>
    <m/>
  </r>
  <r>
    <s v="POST-60409"/>
    <x v="1"/>
    <d v="2025-11-16T00:00:00"/>
    <x v="4"/>
    <n v="28606"/>
    <n v="20603"/>
    <n v="1524"/>
    <n v="200"/>
    <n v="124"/>
    <n v="6.460183178354191E-2"/>
    <n v="8.9700000000000006"/>
    <n v="6.460183178354191E-2"/>
    <m/>
    <m/>
    <m/>
  </r>
  <r>
    <s v="POST-60410"/>
    <x v="2"/>
    <d v="2025-04-12T00:00:00"/>
    <x v="1"/>
    <n v="14074"/>
    <n v="12291"/>
    <n v="200"/>
    <n v="83"/>
    <n v="116"/>
    <n v="2.835014921131164E-2"/>
    <n v="3.25"/>
    <n v="2.835014921131164E-2"/>
    <m/>
    <m/>
    <m/>
  </r>
  <r>
    <s v="POST-60411"/>
    <x v="0"/>
    <d v="2024-11-21T00:00:00"/>
    <x v="2"/>
    <n v="59270"/>
    <n v="26853"/>
    <n v="662"/>
    <n v="429"/>
    <n v="453"/>
    <n v="2.6050278387042349E-2"/>
    <n v="5.75"/>
    <n v="2.6050278387042349E-2"/>
    <m/>
    <m/>
    <m/>
  </r>
  <r>
    <s v="POST-60412"/>
    <x v="0"/>
    <d v="2025-10-13T00:00:00"/>
    <x v="2"/>
    <n v="75915"/>
    <n v="40960"/>
    <n v="1949"/>
    <n v="534"/>
    <n v="352"/>
    <n v="3.7344398340248962E-2"/>
    <n v="6.92"/>
    <n v="3.7344398340248962E-2"/>
    <m/>
    <m/>
    <m/>
  </r>
  <r>
    <s v="POST-60413"/>
    <x v="1"/>
    <d v="2025-08-19T00:00:00"/>
    <x v="2"/>
    <n v="72976"/>
    <n v="47147"/>
    <n v="1145"/>
    <n v="503"/>
    <n v="360"/>
    <n v="2.7515895636921729E-2"/>
    <n v="4.26"/>
    <n v="2.7515895636921729E-2"/>
    <m/>
    <m/>
    <m/>
  </r>
  <r>
    <s v="POST-60414"/>
    <x v="1"/>
    <d v="2025-02-24T00:00:00"/>
    <x v="3"/>
    <n v="84491"/>
    <n v="47181"/>
    <n v="1531"/>
    <n v="410"/>
    <n v="254"/>
    <n v="2.5979098365506385E-2"/>
    <n v="4.6500000000000004"/>
    <n v="2.5979098365506385E-2"/>
    <m/>
    <m/>
    <m/>
  </r>
  <r>
    <s v="POST-60415"/>
    <x v="1"/>
    <d v="2024-08-27T00:00:00"/>
    <x v="4"/>
    <n v="41900"/>
    <n v="25392"/>
    <n v="557"/>
    <n v="158"/>
    <n v="145"/>
    <n v="2.052505966587112E-2"/>
    <n v="3.39"/>
    <n v="2.052505966587112E-2"/>
    <m/>
    <m/>
    <m/>
  </r>
  <r>
    <s v="POST-60416"/>
    <x v="1"/>
    <d v="2025-10-20T00:00:00"/>
    <x v="4"/>
    <n v="2092"/>
    <n v="1004"/>
    <n v="23"/>
    <n v="13"/>
    <n v="3"/>
    <n v="1.8642447418738051E-2"/>
    <n v="3.88"/>
    <n v="1.8642447418738051E-2"/>
    <m/>
    <m/>
    <m/>
  </r>
  <r>
    <s v="POST-60417"/>
    <x v="3"/>
    <d v="2024-08-20T00:00:00"/>
    <x v="3"/>
    <n v="74779"/>
    <n v="35446"/>
    <n v="2176"/>
    <n v="1055"/>
    <n v="1520"/>
    <n v="6.3533879832573317E-2"/>
    <n v="13.4"/>
    <n v="6.3533879832573317E-2"/>
    <m/>
    <m/>
    <m/>
  </r>
  <r>
    <s v="POST-60418"/>
    <x v="4"/>
    <d v="2024-11-29T00:00:00"/>
    <x v="0"/>
    <n v="9916"/>
    <n v="7511"/>
    <n v="307"/>
    <n v="78"/>
    <n v="100"/>
    <n v="4.8910851149657118E-2"/>
    <n v="6.46"/>
    <n v="4.8910851149657118E-2"/>
    <m/>
    <m/>
    <m/>
  </r>
  <r>
    <s v="POST-60419"/>
    <x v="0"/>
    <d v="2024-02-03T00:00:00"/>
    <x v="0"/>
    <n v="4445"/>
    <n v="2252"/>
    <n v="43"/>
    <n v="16"/>
    <n v="36"/>
    <n v="2.1372328458942633E-2"/>
    <n v="4.22"/>
    <n v="2.1372328458942633E-2"/>
    <m/>
    <m/>
    <m/>
  </r>
  <r>
    <s v="POST-60420"/>
    <x v="2"/>
    <d v="2025-01-11T00:00:00"/>
    <x v="0"/>
    <n v="22072"/>
    <n v="19403"/>
    <n v="308"/>
    <n v="40"/>
    <n v="356"/>
    <n v="3.1895614353026458E-2"/>
    <n v="3.63"/>
    <n v="3.1895614353026458E-2"/>
    <m/>
    <m/>
    <m/>
  </r>
  <r>
    <s v="POST-60421"/>
    <x v="3"/>
    <d v="2025-05-15T00:00:00"/>
    <x v="3"/>
    <n v="30790"/>
    <n v="15756"/>
    <n v="1096"/>
    <n v="467"/>
    <n v="541"/>
    <n v="6.8333874634621636E-2"/>
    <n v="13.35"/>
    <n v="6.8333874634621636E-2"/>
    <m/>
    <m/>
    <m/>
  </r>
  <r>
    <s v="POST-60422"/>
    <x v="3"/>
    <d v="2025-03-19T00:00:00"/>
    <x v="2"/>
    <n v="251932"/>
    <n v="111570"/>
    <n v="8185"/>
    <n v="2293"/>
    <n v="2855"/>
    <n v="5.2923010971214456E-2"/>
    <n v="11.95"/>
    <n v="5.2923010971214456E-2"/>
    <m/>
    <m/>
    <m/>
  </r>
  <r>
    <s v="POST-60423"/>
    <x v="0"/>
    <d v="2024-10-31T00:00:00"/>
    <x v="4"/>
    <n v="30992"/>
    <n v="20919"/>
    <n v="603"/>
    <n v="409"/>
    <n v="243"/>
    <n v="4.0494321115126485E-2"/>
    <n v="6"/>
    <n v="4.0494321115126485E-2"/>
    <m/>
    <m/>
    <m/>
  </r>
  <r>
    <s v="POST-60424"/>
    <x v="3"/>
    <d v="2025-10-14T00:00:00"/>
    <x v="3"/>
    <n v="143707"/>
    <n v="79032"/>
    <n v="9168"/>
    <n v="2327"/>
    <n v="3788"/>
    <n v="0.10634833376244721"/>
    <n v="19.34"/>
    <n v="0.10634833376244721"/>
    <m/>
    <m/>
    <m/>
  </r>
  <r>
    <s v="POST-60425"/>
    <x v="2"/>
    <d v="2025-07-28T00:00:00"/>
    <x v="1"/>
    <n v="4868"/>
    <n v="2740"/>
    <n v="38"/>
    <n v="19"/>
    <n v="16"/>
    <n v="1.4995891536565324E-2"/>
    <n v="2.66"/>
    <n v="1.4995891536565324E-2"/>
    <m/>
    <m/>
    <m/>
  </r>
  <r>
    <s v="POST-60426"/>
    <x v="2"/>
    <d v="2024-04-27T00:00:00"/>
    <x v="0"/>
    <n v="21535"/>
    <n v="12055"/>
    <n v="361"/>
    <n v="29"/>
    <n v="205"/>
    <n v="2.7629440445785931E-2"/>
    <n v="4.9400000000000004"/>
    <n v="2.7629440445785931E-2"/>
    <m/>
    <m/>
    <m/>
  </r>
  <r>
    <s v="POST-60427"/>
    <x v="1"/>
    <d v="2024-06-21T00:00:00"/>
    <x v="2"/>
    <n v="72066"/>
    <n v="37138"/>
    <n v="948"/>
    <n v="470"/>
    <n v="278"/>
    <n v="2.3533982738045682E-2"/>
    <n v="4.57"/>
    <n v="2.3533982738045682E-2"/>
    <m/>
    <m/>
    <m/>
  </r>
  <r>
    <s v="POST-60428"/>
    <x v="2"/>
    <d v="2025-05-30T00:00:00"/>
    <x v="1"/>
    <n v="24044"/>
    <n v="17053"/>
    <n v="370"/>
    <n v="101"/>
    <n v="184"/>
    <n v="2.7241723506904011E-2"/>
    <n v="3.84"/>
    <n v="2.7241723506904011E-2"/>
    <m/>
    <m/>
    <m/>
  </r>
  <r>
    <s v="POST-60429"/>
    <x v="1"/>
    <d v="2025-03-31T00:00:00"/>
    <x v="2"/>
    <n v="117879"/>
    <n v="84135"/>
    <n v="3779"/>
    <n v="219"/>
    <n v="331"/>
    <n v="3.672409843992569E-2"/>
    <n v="5.15"/>
    <n v="3.672409843992569E-2"/>
    <m/>
    <m/>
    <m/>
  </r>
  <r>
    <s v="POST-60430"/>
    <x v="0"/>
    <d v="2025-07-22T00:00:00"/>
    <x v="1"/>
    <n v="14346"/>
    <n v="9357"/>
    <n v="141"/>
    <n v="163"/>
    <n v="79"/>
    <n v="2.6697337236860449E-2"/>
    <n v="4.09"/>
    <n v="2.6697337236860449E-2"/>
    <m/>
    <m/>
    <m/>
  </r>
  <r>
    <s v="POST-60431"/>
    <x v="4"/>
    <d v="2025-02-06T00:00:00"/>
    <x v="1"/>
    <n v="3303"/>
    <n v="1627"/>
    <n v="45"/>
    <n v="31"/>
    <n v="16"/>
    <n v="2.7853466545564639E-2"/>
    <n v="5.65"/>
    <n v="2.7853466545564639E-2"/>
    <m/>
    <m/>
    <m/>
  </r>
  <r>
    <s v="POST-60432"/>
    <x v="2"/>
    <d v="2024-07-15T00:00:00"/>
    <x v="1"/>
    <n v="7765"/>
    <n v="5378"/>
    <n v="111"/>
    <n v="15"/>
    <n v="26"/>
    <n v="1.957501609787508E-2"/>
    <n v="2.83"/>
    <n v="1.957501609787508E-2"/>
    <m/>
    <m/>
    <m/>
  </r>
  <r>
    <s v="POST-60433"/>
    <x v="0"/>
    <d v="2025-02-17T00:00:00"/>
    <x v="4"/>
    <n v="21592"/>
    <n v="8602"/>
    <n v="123"/>
    <n v="161"/>
    <n v="152"/>
    <n v="2.0192663949610966E-2"/>
    <n v="5.07"/>
    <n v="2.0192663949610966E-2"/>
    <m/>
    <m/>
    <m/>
  </r>
  <r>
    <s v="POST-60434"/>
    <x v="2"/>
    <d v="2025-11-10T00:00:00"/>
    <x v="1"/>
    <n v="13531"/>
    <n v="11061"/>
    <n v="55"/>
    <n v="40"/>
    <n v="183"/>
    <n v="2.0545414233981228E-2"/>
    <n v="2.5099999999999998"/>
    <n v="2.0545414233981228E-2"/>
    <m/>
    <m/>
    <m/>
  </r>
  <r>
    <s v="POST-60435"/>
    <x v="1"/>
    <d v="2025-05-18T00:00:00"/>
    <x v="3"/>
    <n v="87545"/>
    <n v="56804"/>
    <n v="3480"/>
    <n v="778"/>
    <n v="443"/>
    <n v="5.3698098120966362E-2"/>
    <n v="8.2799999999999994"/>
    <n v="5.3698098120966362E-2"/>
    <m/>
    <m/>
    <m/>
  </r>
  <r>
    <s v="POST-60436"/>
    <x v="1"/>
    <d v="2024-09-19T00:00:00"/>
    <x v="3"/>
    <n v="30509"/>
    <n v="19164"/>
    <n v="769"/>
    <n v="216"/>
    <n v="43"/>
    <n v="3.3694975253203974E-2"/>
    <n v="5.36"/>
    <n v="3.3694975253203974E-2"/>
    <m/>
    <m/>
    <m/>
  </r>
  <r>
    <s v="POST-60437"/>
    <x v="1"/>
    <d v="2024-12-03T00:00:00"/>
    <x v="4"/>
    <n v="53167"/>
    <n v="23514"/>
    <n v="1779"/>
    <n v="332"/>
    <n v="44"/>
    <n v="4.0532661237233619E-2"/>
    <n v="9.16"/>
    <n v="4.0532661237233619E-2"/>
    <m/>
    <m/>
    <m/>
  </r>
  <r>
    <s v="POST-60438"/>
    <x v="0"/>
    <d v="2024-03-14T00:00:00"/>
    <x v="1"/>
    <n v="22118"/>
    <n v="10636"/>
    <n v="350"/>
    <n v="171"/>
    <n v="189"/>
    <n v="3.2100551586942763E-2"/>
    <n v="6.68"/>
    <n v="3.2100551586942763E-2"/>
    <m/>
    <m/>
    <m/>
  </r>
  <r>
    <s v="POST-60439"/>
    <x v="3"/>
    <d v="2025-06-25T00:00:00"/>
    <x v="3"/>
    <n v="6518"/>
    <n v="4208"/>
    <n v="456"/>
    <n v="113"/>
    <n v="50"/>
    <n v="9.4967781528076098E-2"/>
    <n v="14.71"/>
    <n v="9.4967781528076098E-2"/>
    <m/>
    <m/>
    <m/>
  </r>
  <r>
    <s v="POST-60440"/>
    <x v="1"/>
    <d v="2025-12-17T00:00:00"/>
    <x v="4"/>
    <n v="57148"/>
    <n v="44870"/>
    <n v="1514"/>
    <n v="359"/>
    <n v="292"/>
    <n v="3.7884090431861132E-2"/>
    <n v="4.83"/>
    <n v="3.7884090431861132E-2"/>
    <m/>
    <m/>
    <m/>
  </r>
  <r>
    <s v="POST-60441"/>
    <x v="0"/>
    <d v="2024-08-17T00:00:00"/>
    <x v="1"/>
    <n v="9102"/>
    <n v="5221"/>
    <n v="83"/>
    <n v="19"/>
    <n v="36"/>
    <n v="1.5161502966381015E-2"/>
    <n v="2.64"/>
    <n v="1.5161502966381015E-2"/>
    <m/>
    <m/>
    <m/>
  </r>
  <r>
    <s v="POST-60442"/>
    <x v="3"/>
    <d v="2024-10-10T00:00:00"/>
    <x v="3"/>
    <n v="392291"/>
    <n v="211695"/>
    <n v="17800"/>
    <n v="3874"/>
    <n v="5323"/>
    <n v="6.8818810525859628E-2"/>
    <n v="12.75"/>
    <n v="6.8818810525859628E-2"/>
    <m/>
    <m/>
    <m/>
  </r>
  <r>
    <s v="POST-60443"/>
    <x v="3"/>
    <d v="2024-09-14T00:00:00"/>
    <x v="3"/>
    <n v="82125"/>
    <n v="30012"/>
    <n v="2121"/>
    <n v="621"/>
    <n v="1487"/>
    <n v="5.1494672754946728E-2"/>
    <n v="14.09"/>
    <n v="5.1494672754946728E-2"/>
    <m/>
    <m/>
    <m/>
  </r>
  <r>
    <s v="POST-60444"/>
    <x v="3"/>
    <d v="2025-12-23T00:00:00"/>
    <x v="3"/>
    <n v="225458"/>
    <n v="132441"/>
    <n v="8363"/>
    <n v="1585"/>
    <n v="3594"/>
    <n v="6.0064402238997949E-2"/>
    <n v="10.220000000000001"/>
    <n v="6.0064402238997949E-2"/>
    <m/>
    <m/>
    <m/>
  </r>
  <r>
    <s v="POST-60445"/>
    <x v="2"/>
    <d v="2024-08-16T00:00:00"/>
    <x v="2"/>
    <n v="31441"/>
    <n v="22917"/>
    <n v="633"/>
    <n v="99"/>
    <n v="79"/>
    <n v="2.5794344963582582E-2"/>
    <n v="3.54"/>
    <n v="2.5794344963582582E-2"/>
    <m/>
    <m/>
    <m/>
  </r>
  <r>
    <s v="POST-60446"/>
    <x v="1"/>
    <d v="2024-11-02T00:00:00"/>
    <x v="4"/>
    <n v="68693"/>
    <n v="35653"/>
    <n v="896"/>
    <n v="435"/>
    <n v="174"/>
    <n v="2.1909073704744299E-2"/>
    <n v="4.22"/>
    <n v="2.1909073704744299E-2"/>
    <m/>
    <m/>
    <m/>
  </r>
  <r>
    <s v="POST-60447"/>
    <x v="3"/>
    <d v="2024-03-29T00:00:00"/>
    <x v="3"/>
    <n v="288296"/>
    <n v="88273"/>
    <n v="4066"/>
    <n v="1872"/>
    <n v="3760"/>
    <n v="3.3639037655742707E-2"/>
    <n v="10.99"/>
    <n v="3.3639037655742707E-2"/>
    <m/>
    <m/>
    <m/>
  </r>
  <r>
    <s v="POST-60448"/>
    <x v="0"/>
    <d v="2025-03-11T00:00:00"/>
    <x v="0"/>
    <n v="1023"/>
    <n v="695"/>
    <n v="30"/>
    <n v="9"/>
    <n v="12"/>
    <n v="4.9853372434017593E-2"/>
    <n v="7.34"/>
    <n v="4.9853372434017593E-2"/>
    <m/>
    <m/>
    <m/>
  </r>
  <r>
    <s v="POST-60449"/>
    <x v="2"/>
    <d v="2024-01-02T00:00:00"/>
    <x v="2"/>
    <n v="3481"/>
    <n v="2768"/>
    <n v="41"/>
    <n v="19"/>
    <n v="36"/>
    <n v="2.757828210284401E-2"/>
    <n v="3.47"/>
    <n v="2.757828210284401E-2"/>
    <m/>
    <m/>
    <m/>
  </r>
  <r>
    <s v="POST-60450"/>
    <x v="4"/>
    <d v="2025-12-11T00:00:00"/>
    <x v="0"/>
    <n v="18614"/>
    <n v="13525"/>
    <n v="446"/>
    <n v="168"/>
    <n v="149"/>
    <n v="4.0990652197270869E-2"/>
    <n v="5.64"/>
    <n v="4.0990652197270869E-2"/>
    <m/>
    <m/>
    <m/>
  </r>
  <r>
    <s v="POST-60451"/>
    <x v="2"/>
    <d v="2025-09-23T00:00:00"/>
    <x v="2"/>
    <n v="29996"/>
    <n v="16944"/>
    <n v="288"/>
    <n v="71"/>
    <n v="93"/>
    <n v="1.5068675823443126E-2"/>
    <n v="2.67"/>
    <n v="1.5068675823443126E-2"/>
    <m/>
    <m/>
    <m/>
  </r>
  <r>
    <s v="POST-60452"/>
    <x v="2"/>
    <d v="2025-09-22T00:00:00"/>
    <x v="1"/>
    <n v="5854"/>
    <n v="3519"/>
    <n v="68"/>
    <n v="7"/>
    <n v="60"/>
    <n v="2.3061154765971984E-2"/>
    <n v="3.84"/>
    <n v="2.3061154765971984E-2"/>
    <m/>
    <m/>
    <m/>
  </r>
  <r>
    <s v="POST-60453"/>
    <x v="0"/>
    <d v="2025-07-07T00:00:00"/>
    <x v="0"/>
    <n v="12421"/>
    <n v="5242"/>
    <n v="156"/>
    <n v="19"/>
    <n v="100"/>
    <n v="2.2139924321713227E-2"/>
    <n v="5.25"/>
    <n v="2.2139924321713227E-2"/>
    <m/>
    <m/>
    <m/>
  </r>
  <r>
    <s v="POST-60454"/>
    <x v="0"/>
    <d v="2024-12-28T00:00:00"/>
    <x v="1"/>
    <n v="26906"/>
    <n v="16471"/>
    <n v="544"/>
    <n v="158"/>
    <n v="240"/>
    <n v="3.5010778265070985E-2"/>
    <n v="5.72"/>
    <n v="3.5010778265070985E-2"/>
    <m/>
    <m/>
    <m/>
  </r>
  <r>
    <s v="POST-60455"/>
    <x v="3"/>
    <d v="2025-08-14T00:00:00"/>
    <x v="3"/>
    <n v="328225"/>
    <n v="141102"/>
    <n v="4621"/>
    <n v="3283"/>
    <n v="1763"/>
    <n v="2.9452357376799451E-2"/>
    <n v="6.85"/>
    <n v="2.9452357376799451E-2"/>
    <m/>
    <m/>
    <m/>
  </r>
  <r>
    <s v="POST-60456"/>
    <x v="1"/>
    <d v="2025-01-22T00:00:00"/>
    <x v="1"/>
    <n v="17569"/>
    <n v="11376"/>
    <n v="827"/>
    <n v="41"/>
    <n v="46"/>
    <n v="5.2023450395583128E-2"/>
    <n v="8.0299999999999994"/>
    <n v="5.2023450395583128E-2"/>
    <m/>
    <m/>
    <m/>
  </r>
  <r>
    <s v="POST-60457"/>
    <x v="1"/>
    <d v="2025-01-08T00:00:00"/>
    <x v="3"/>
    <n v="66334"/>
    <n v="51977"/>
    <n v="3856"/>
    <n v="534"/>
    <n v="80"/>
    <n v="6.7386257424548499E-2"/>
    <n v="8.6"/>
    <n v="6.7386257424548499E-2"/>
    <m/>
    <m/>
    <m/>
  </r>
  <r>
    <s v="POST-60458"/>
    <x v="4"/>
    <d v="2024-11-03T00:00:00"/>
    <x v="4"/>
    <n v="19570"/>
    <n v="15430"/>
    <n v="681"/>
    <n v="176"/>
    <n v="156"/>
    <n v="5.1762902401635155E-2"/>
    <n v="6.57"/>
    <n v="5.1762902401635155E-2"/>
    <m/>
    <m/>
    <m/>
  </r>
  <r>
    <s v="POST-60459"/>
    <x v="4"/>
    <d v="2024-05-07T00:00:00"/>
    <x v="0"/>
    <n v="9852"/>
    <n v="6630"/>
    <n v="339"/>
    <n v="103"/>
    <n v="87"/>
    <n v="5.3694681282988224E-2"/>
    <n v="7.98"/>
    <n v="5.3694681282988224E-2"/>
    <m/>
    <m/>
    <m/>
  </r>
  <r>
    <s v="POST-60460"/>
    <x v="1"/>
    <d v="2025-10-01T00:00:00"/>
    <x v="2"/>
    <n v="92161"/>
    <n v="40403"/>
    <n v="2368"/>
    <n v="102"/>
    <n v="87"/>
    <n v="2.7744924642744761E-2"/>
    <n v="6.33"/>
    <n v="2.7744924642744761E-2"/>
    <m/>
    <m/>
    <m/>
  </r>
  <r>
    <s v="POST-60461"/>
    <x v="0"/>
    <d v="2025-03-20T00:00:00"/>
    <x v="0"/>
    <n v="3970"/>
    <n v="2263"/>
    <n v="24"/>
    <n v="8"/>
    <n v="28"/>
    <n v="1.5113350125944584E-2"/>
    <n v="2.65"/>
    <n v="1.5113350125944584E-2"/>
    <m/>
    <m/>
    <m/>
  </r>
  <r>
    <s v="POST-60462"/>
    <x v="3"/>
    <d v="2025-06-22T00:00:00"/>
    <x v="3"/>
    <n v="110636"/>
    <n v="36923"/>
    <n v="1473"/>
    <n v="914"/>
    <n v="1165"/>
    <n v="3.210528218663003E-2"/>
    <n v="9.6199999999999992"/>
    <n v="3.210528218663003E-2"/>
    <m/>
    <m/>
    <m/>
  </r>
  <r>
    <s v="POST-60463"/>
    <x v="1"/>
    <d v="2025-02-28T00:00:00"/>
    <x v="3"/>
    <n v="52965"/>
    <n v="21319"/>
    <n v="616"/>
    <n v="180"/>
    <n v="147"/>
    <n v="1.7804210327574812E-2"/>
    <n v="4.42"/>
    <n v="1.7804210327574812E-2"/>
    <m/>
    <m/>
    <m/>
  </r>
  <r>
    <s v="POST-60464"/>
    <x v="2"/>
    <d v="2024-07-17T00:00:00"/>
    <x v="2"/>
    <n v="43511"/>
    <n v="37194"/>
    <n v="998"/>
    <n v="135"/>
    <n v="84"/>
    <n v="2.7969938636206938E-2"/>
    <n v="3.27"/>
    <n v="2.7969938636206938E-2"/>
    <m/>
    <m/>
    <m/>
  </r>
  <r>
    <s v="POST-60465"/>
    <x v="3"/>
    <d v="2025-09-14T00:00:00"/>
    <x v="3"/>
    <n v="337983"/>
    <n v="146786"/>
    <n v="16597"/>
    <n v="3627"/>
    <n v="6567"/>
    <n v="7.9267300426352799E-2"/>
    <n v="18.25"/>
    <n v="7.9267300426352799E-2"/>
    <m/>
    <m/>
    <m/>
  </r>
  <r>
    <s v="POST-60466"/>
    <x v="3"/>
    <d v="2024-02-17T00:00:00"/>
    <x v="3"/>
    <n v="164695"/>
    <n v="90796"/>
    <n v="6004"/>
    <n v="651"/>
    <n v="3479"/>
    <n v="6.1531922644889034E-2"/>
    <n v="11.16"/>
    <n v="6.1531922644889034E-2"/>
    <m/>
    <m/>
    <m/>
  </r>
  <r>
    <s v="POST-60467"/>
    <x v="4"/>
    <d v="2024-02-15T00:00:00"/>
    <x v="4"/>
    <n v="16374"/>
    <n v="12880"/>
    <n v="274"/>
    <n v="145"/>
    <n v="63"/>
    <n v="2.943691217784292E-2"/>
    <n v="3.74"/>
    <n v="2.943691217784292E-2"/>
    <m/>
    <m/>
    <m/>
  </r>
  <r>
    <s v="POST-60468"/>
    <x v="3"/>
    <d v="2024-02-24T00:00:00"/>
    <x v="2"/>
    <n v="459458"/>
    <n v="319894"/>
    <n v="38021"/>
    <n v="7712"/>
    <n v="11817"/>
    <n v="0.1252562802258313"/>
    <n v="17.989999999999998"/>
    <n v="0.1252562802258313"/>
    <m/>
    <m/>
    <m/>
  </r>
  <r>
    <s v="POST-60469"/>
    <x v="0"/>
    <d v="2025-08-25T00:00:00"/>
    <x v="1"/>
    <n v="16448"/>
    <n v="7957"/>
    <n v="185"/>
    <n v="107"/>
    <n v="133"/>
    <n v="2.5839007782101166E-2"/>
    <n v="5.34"/>
    <n v="2.5839007782101166E-2"/>
    <m/>
    <m/>
    <m/>
  </r>
  <r>
    <s v="POST-60470"/>
    <x v="4"/>
    <d v="2025-05-08T00:00:00"/>
    <x v="0"/>
    <n v="7337"/>
    <n v="5366"/>
    <n v="81"/>
    <n v="112"/>
    <n v="59"/>
    <n v="3.4346463132070328E-2"/>
    <n v="4.7"/>
    <n v="3.4346463132070328E-2"/>
    <m/>
    <m/>
    <m/>
  </r>
  <r>
    <s v="POST-60471"/>
    <x v="2"/>
    <d v="2024-03-20T00:00:00"/>
    <x v="0"/>
    <n v="18681"/>
    <n v="13036"/>
    <n v="151"/>
    <n v="52"/>
    <n v="160"/>
    <n v="1.9431507949253253E-2"/>
    <n v="2.78"/>
    <n v="1.9431507949253253E-2"/>
    <m/>
    <m/>
    <m/>
  </r>
  <r>
    <s v="POST-60472"/>
    <x v="2"/>
    <d v="2024-08-21T00:00:00"/>
    <x v="2"/>
    <n v="37918"/>
    <n v="24272"/>
    <n v="469"/>
    <n v="158"/>
    <n v="465"/>
    <n v="2.8798987288359092E-2"/>
    <n v="4.5"/>
    <n v="2.8798987288359092E-2"/>
    <m/>
    <m/>
    <m/>
  </r>
  <r>
    <s v="POST-60473"/>
    <x v="2"/>
    <d v="2024-03-25T00:00:00"/>
    <x v="2"/>
    <n v="31283"/>
    <n v="21876"/>
    <n v="129"/>
    <n v="114"/>
    <n v="253"/>
    <n v="1.58552568487677E-2"/>
    <n v="2.27"/>
    <n v="1.58552568487677E-2"/>
    <m/>
    <m/>
    <m/>
  </r>
  <r>
    <s v="POST-60474"/>
    <x v="3"/>
    <d v="2024-05-16T00:00:00"/>
    <x v="3"/>
    <n v="339247"/>
    <n v="113189"/>
    <n v="7464"/>
    <n v="3146"/>
    <n v="4182"/>
    <n v="4.3602448953122652E-2"/>
    <n v="13.07"/>
    <n v="4.3602448953122652E-2"/>
    <m/>
    <m/>
    <m/>
  </r>
  <r>
    <s v="POST-60475"/>
    <x v="1"/>
    <d v="2024-07-05T00:00:00"/>
    <x v="1"/>
    <n v="8981"/>
    <n v="3952"/>
    <n v="155"/>
    <n v="56"/>
    <n v="27"/>
    <n v="2.6500389711613406E-2"/>
    <n v="6.02"/>
    <n v="2.6500389711613406E-2"/>
    <m/>
    <m/>
    <m/>
  </r>
  <r>
    <s v="POST-60476"/>
    <x v="2"/>
    <d v="2024-10-08T00:00:00"/>
    <x v="1"/>
    <n v="21302"/>
    <n v="13074"/>
    <n v="295"/>
    <n v="26"/>
    <n v="71"/>
    <n v="1.8402027978593558E-2"/>
    <n v="3"/>
    <n v="1.8402027978593558E-2"/>
    <m/>
    <m/>
    <m/>
  </r>
  <r>
    <s v="POST-60477"/>
    <x v="1"/>
    <d v="2024-09-28T00:00:00"/>
    <x v="4"/>
    <n v="69216"/>
    <n v="42538"/>
    <n v="1645"/>
    <n v="611"/>
    <n v="409"/>
    <n v="3.8502658344891354E-2"/>
    <n v="6.26"/>
    <n v="3.8502658344891354E-2"/>
    <m/>
    <m/>
    <m/>
  </r>
  <r>
    <s v="POST-60478"/>
    <x v="1"/>
    <d v="2025-01-17T00:00:00"/>
    <x v="3"/>
    <n v="71167"/>
    <n v="40636"/>
    <n v="2428"/>
    <n v="337"/>
    <n v="81"/>
    <n v="3.9990445009625245E-2"/>
    <n v="7"/>
    <n v="3.9990445009625245E-2"/>
    <m/>
    <m/>
    <m/>
  </r>
  <r>
    <s v="POST-60479"/>
    <x v="4"/>
    <d v="2024-11-30T00:00:00"/>
    <x v="1"/>
    <n v="4580"/>
    <n v="2488"/>
    <n v="77"/>
    <n v="21"/>
    <n v="30"/>
    <n v="2.794759825327511E-2"/>
    <n v="5.14"/>
    <n v="2.794759825327511E-2"/>
    <m/>
    <m/>
    <m/>
  </r>
  <r>
    <s v="POST-60480"/>
    <x v="1"/>
    <d v="2024-09-03T00:00:00"/>
    <x v="4"/>
    <n v="25003"/>
    <n v="12041"/>
    <n v="780"/>
    <n v="113"/>
    <n v="55"/>
    <n v="3.7915450145982479E-2"/>
    <n v="7.87"/>
    <n v="3.7915450145982479E-2"/>
    <m/>
    <m/>
    <m/>
  </r>
  <r>
    <s v="POST-60481"/>
    <x v="1"/>
    <d v="2024-09-12T00:00:00"/>
    <x v="4"/>
    <n v="69409"/>
    <n v="29566"/>
    <n v="1523"/>
    <n v="290"/>
    <n v="165"/>
    <n v="2.8497745249175178E-2"/>
    <n v="6.69"/>
    <n v="2.8497745249175178E-2"/>
    <m/>
    <m/>
    <m/>
  </r>
  <r>
    <s v="POST-60482"/>
    <x v="1"/>
    <d v="2025-11-05T00:00:00"/>
    <x v="3"/>
    <n v="85888"/>
    <n v="52026"/>
    <n v="2347"/>
    <n v="624"/>
    <n v="135"/>
    <n v="3.616337555886736E-2"/>
    <n v="5.97"/>
    <n v="3.616337555886736E-2"/>
    <m/>
    <m/>
    <m/>
  </r>
  <r>
    <s v="POST-60483"/>
    <x v="1"/>
    <d v="2025-12-11T00:00:00"/>
    <x v="4"/>
    <n v="60250"/>
    <n v="31771"/>
    <n v="1907"/>
    <n v="219"/>
    <n v="79"/>
    <n v="3.6597510373443984E-2"/>
    <n v="6.94"/>
    <n v="3.6597510373443984E-2"/>
    <m/>
    <m/>
    <m/>
  </r>
  <r>
    <s v="POST-60484"/>
    <x v="2"/>
    <d v="2024-01-26T00:00:00"/>
    <x v="0"/>
    <n v="11412"/>
    <n v="7912"/>
    <n v="117"/>
    <n v="23"/>
    <n v="153"/>
    <n v="2.567472835611637E-2"/>
    <n v="3.7"/>
    <n v="2.567472835611637E-2"/>
    <m/>
    <m/>
    <m/>
  </r>
  <r>
    <s v="POST-60485"/>
    <x v="1"/>
    <d v="2025-12-03T00:00:00"/>
    <x v="1"/>
    <n v="8581"/>
    <n v="5323"/>
    <n v="190"/>
    <n v="14"/>
    <n v="9"/>
    <n v="2.4822281785339705E-2"/>
    <n v="4"/>
    <n v="2.4822281785339705E-2"/>
    <m/>
    <m/>
    <m/>
  </r>
  <r>
    <s v="POST-60486"/>
    <x v="3"/>
    <d v="2024-08-06T00:00:00"/>
    <x v="3"/>
    <n v="87881"/>
    <n v="60405"/>
    <n v="4517"/>
    <n v="667"/>
    <n v="1550"/>
    <n v="7.662634699195503E-2"/>
    <n v="11.15"/>
    <n v="7.662634699195503E-2"/>
    <m/>
    <m/>
    <m/>
  </r>
  <r>
    <s v="POST-60487"/>
    <x v="4"/>
    <d v="2024-10-03T00:00:00"/>
    <x v="2"/>
    <n v="15417"/>
    <n v="8696"/>
    <n v="290"/>
    <n v="111"/>
    <n v="100"/>
    <n v="3.249659466822339E-2"/>
    <n v="5.76"/>
    <n v="3.249659466822339E-2"/>
    <m/>
    <m/>
    <m/>
  </r>
  <r>
    <s v="POST-60488"/>
    <x v="3"/>
    <d v="2024-09-29T00:00:00"/>
    <x v="3"/>
    <n v="185847"/>
    <n v="121043"/>
    <n v="11183"/>
    <n v="626"/>
    <n v="3674"/>
    <n v="8.3310465059968683E-2"/>
    <n v="12.79"/>
    <n v="8.3310465059968683E-2"/>
    <m/>
    <m/>
    <m/>
  </r>
  <r>
    <s v="POST-60489"/>
    <x v="4"/>
    <d v="2024-11-10T00:00:00"/>
    <x v="0"/>
    <n v="10745"/>
    <n v="5956"/>
    <n v="195"/>
    <n v="89"/>
    <n v="28"/>
    <n v="2.9036761284318289E-2"/>
    <n v="5.24"/>
    <n v="2.9036761284318289E-2"/>
    <m/>
    <m/>
    <m/>
  </r>
  <r>
    <s v="POST-60490"/>
    <x v="4"/>
    <d v="2025-11-26T00:00:00"/>
    <x v="1"/>
    <n v="6513"/>
    <n v="3382"/>
    <n v="114"/>
    <n v="52"/>
    <n v="33"/>
    <n v="3.0554276063258098E-2"/>
    <n v="5.88"/>
    <n v="3.0554276063258098E-2"/>
    <m/>
    <m/>
    <m/>
  </r>
  <r>
    <s v="POST-60491"/>
    <x v="3"/>
    <d v="2025-08-07T00:00:00"/>
    <x v="3"/>
    <n v="440564"/>
    <n v="270609"/>
    <n v="17877"/>
    <n v="4340"/>
    <n v="7584"/>
    <n v="6.7642839632834281E-2"/>
    <n v="11.01"/>
    <n v="6.7642839632834281E-2"/>
    <m/>
    <m/>
    <m/>
  </r>
  <r>
    <s v="POST-60492"/>
    <x v="3"/>
    <d v="2024-05-30T00:00:00"/>
    <x v="2"/>
    <n v="322006"/>
    <n v="167484"/>
    <n v="9198"/>
    <n v="4109"/>
    <n v="6734"/>
    <n v="6.2237970721042465E-2"/>
    <n v="11.97"/>
    <n v="6.2237970721042465E-2"/>
    <m/>
    <m/>
    <m/>
  </r>
  <r>
    <s v="POST-60493"/>
    <x v="2"/>
    <d v="2025-04-03T00:00:00"/>
    <x v="1"/>
    <n v="10767"/>
    <n v="6348"/>
    <n v="127"/>
    <n v="7"/>
    <n v="93"/>
    <n v="2.1082938608711806E-2"/>
    <n v="3.58"/>
    <n v="2.1082938608711806E-2"/>
    <m/>
    <m/>
    <m/>
  </r>
  <r>
    <s v="POST-60494"/>
    <x v="0"/>
    <d v="2025-06-03T00:00:00"/>
    <x v="2"/>
    <n v="36770"/>
    <n v="17441"/>
    <n v="330"/>
    <n v="230"/>
    <n v="269"/>
    <n v="2.2545553440304598E-2"/>
    <n v="4.75"/>
    <n v="2.2545553440304598E-2"/>
    <m/>
    <m/>
    <m/>
  </r>
  <r>
    <s v="POST-60495"/>
    <x v="3"/>
    <d v="2024-03-14T00:00:00"/>
    <x v="2"/>
    <n v="38055"/>
    <n v="20035"/>
    <n v="1623"/>
    <n v="390"/>
    <n v="207"/>
    <n v="5.8336618052818291E-2"/>
    <n v="11.08"/>
    <n v="5.8336618052818291E-2"/>
    <m/>
    <m/>
    <m/>
  </r>
  <r>
    <s v="POST-60496"/>
    <x v="1"/>
    <d v="2024-10-15T00:00:00"/>
    <x v="4"/>
    <n v="51958"/>
    <n v="30967"/>
    <n v="878"/>
    <n v="85"/>
    <n v="54"/>
    <n v="1.9573501674429346E-2"/>
    <n v="3.28"/>
    <n v="1.9573501674429346E-2"/>
    <m/>
    <m/>
    <m/>
  </r>
  <r>
    <s v="POST-60497"/>
    <x v="1"/>
    <d v="2025-03-15T00:00:00"/>
    <x v="2"/>
    <n v="36746"/>
    <n v="20529"/>
    <n v="1452"/>
    <n v="156"/>
    <n v="124"/>
    <n v="4.7134381973548141E-2"/>
    <n v="8.44"/>
    <n v="4.7134381973548141E-2"/>
    <m/>
    <m/>
    <m/>
  </r>
  <r>
    <s v="POST-60498"/>
    <x v="2"/>
    <d v="2025-03-16T00:00:00"/>
    <x v="2"/>
    <n v="12875"/>
    <n v="7526"/>
    <n v="69"/>
    <n v="19"/>
    <n v="40"/>
    <n v="9.9417475728155336E-3"/>
    <n v="1.7"/>
    <n v="9.9417475728155336E-3"/>
    <m/>
    <m/>
    <m/>
  </r>
  <r>
    <s v="POST-60499"/>
    <x v="0"/>
    <d v="2024-09-26T00:00:00"/>
    <x v="2"/>
    <n v="29909"/>
    <n v="10936"/>
    <n v="270"/>
    <n v="106"/>
    <n v="175"/>
    <n v="1.8422548396803639E-2"/>
    <n v="5.04"/>
    <n v="1.8422548396803639E-2"/>
    <m/>
    <m/>
    <m/>
  </r>
  <r>
    <s v="POST-60500"/>
    <x v="3"/>
    <d v="2024-02-10T00:00:00"/>
    <x v="3"/>
    <n v="41256"/>
    <n v="26399"/>
    <n v="2930"/>
    <n v="619"/>
    <n v="480"/>
    <n v="9.7658522396742289E-2"/>
    <n v="15.26"/>
    <n v="9.7658522396742289E-2"/>
    <m/>
    <m/>
    <m/>
  </r>
  <r>
    <s v="POST-60501"/>
    <x v="4"/>
    <d v="2025-03-17T00:00:00"/>
    <x v="4"/>
    <n v="9610"/>
    <n v="7236"/>
    <n v="115"/>
    <n v="116"/>
    <n v="68"/>
    <n v="3.1113423517169614E-2"/>
    <n v="4.13"/>
    <n v="3.1113423517169614E-2"/>
    <m/>
    <m/>
    <m/>
  </r>
  <r>
    <s v="POST-60502"/>
    <x v="2"/>
    <d v="2025-01-10T00:00:00"/>
    <x v="1"/>
    <n v="3755"/>
    <n v="2372"/>
    <n v="62"/>
    <n v="6"/>
    <n v="5"/>
    <n v="1.9440745672436751E-2"/>
    <n v="3.08"/>
    <n v="1.9440745672436751E-2"/>
    <m/>
    <m/>
    <m/>
  </r>
  <r>
    <s v="POST-60503"/>
    <x v="4"/>
    <d v="2025-04-18T00:00:00"/>
    <x v="2"/>
    <n v="38598"/>
    <n v="19145"/>
    <n v="389"/>
    <n v="219"/>
    <n v="243"/>
    <n v="2.2047774496087882E-2"/>
    <n v="4.45"/>
    <n v="2.2047774496087882E-2"/>
    <m/>
    <m/>
    <m/>
  </r>
  <r>
    <s v="POST-60504"/>
    <x v="4"/>
    <d v="2025-02-17T00:00:00"/>
    <x v="1"/>
    <n v="10726"/>
    <n v="6896"/>
    <n v="193"/>
    <n v="102"/>
    <n v="93"/>
    <n v="3.6173783330225619E-2"/>
    <n v="5.63"/>
    <n v="3.6173783330225619E-2"/>
    <m/>
    <m/>
    <m/>
  </r>
  <r>
    <s v="POST-60505"/>
    <x v="0"/>
    <d v="2025-05-16T00:00:00"/>
    <x v="4"/>
    <n v="37289"/>
    <n v="16958"/>
    <n v="800"/>
    <n v="75"/>
    <n v="162"/>
    <n v="2.7809809863498618E-2"/>
    <n v="6.12"/>
    <n v="2.7809809863498618E-2"/>
    <m/>
    <m/>
    <m/>
  </r>
  <r>
    <s v="POST-60506"/>
    <x v="4"/>
    <d v="2024-07-07T00:00:00"/>
    <x v="2"/>
    <n v="20670"/>
    <n v="15492"/>
    <n v="592"/>
    <n v="292"/>
    <n v="224"/>
    <n v="5.3604257377842281E-2"/>
    <n v="7.15"/>
    <n v="5.3604257377842281E-2"/>
    <m/>
    <m/>
    <m/>
  </r>
  <r>
    <s v="POST-60507"/>
    <x v="0"/>
    <d v="2024-11-09T00:00:00"/>
    <x v="2"/>
    <n v="30297"/>
    <n v="12985"/>
    <n v="141"/>
    <n v="45"/>
    <n v="217"/>
    <n v="1.3301647027758524E-2"/>
    <n v="3.1"/>
    <n v="1.3301647027758524E-2"/>
    <m/>
    <m/>
    <m/>
  </r>
  <r>
    <s v="POST-60508"/>
    <x v="1"/>
    <d v="2025-09-12T00:00:00"/>
    <x v="4"/>
    <n v="34183"/>
    <n v="19575"/>
    <n v="1510"/>
    <n v="101"/>
    <n v="112"/>
    <n v="5.0405172161600793E-2"/>
    <n v="8.8000000000000007"/>
    <n v="5.0405172161600793E-2"/>
    <m/>
    <m/>
    <m/>
  </r>
  <r>
    <s v="POST-60509"/>
    <x v="1"/>
    <d v="2025-12-28T00:00:00"/>
    <x v="1"/>
    <n v="44261"/>
    <n v="21082"/>
    <n v="1483"/>
    <n v="251"/>
    <n v="161"/>
    <n v="4.2814215675199385E-2"/>
    <n v="8.99"/>
    <n v="4.2814215675199385E-2"/>
    <m/>
    <m/>
    <m/>
  </r>
  <r>
    <s v="POST-60510"/>
    <x v="0"/>
    <d v="2025-09-26T00:00:00"/>
    <x v="2"/>
    <n v="57188"/>
    <n v="26556"/>
    <n v="923"/>
    <n v="355"/>
    <n v="613"/>
    <n v="3.3066377561726236E-2"/>
    <n v="7.12"/>
    <n v="3.3066377561726236E-2"/>
    <m/>
    <m/>
    <m/>
  </r>
  <r>
    <s v="POST-60511"/>
    <x v="1"/>
    <d v="2025-06-12T00:00:00"/>
    <x v="1"/>
    <n v="18096"/>
    <n v="11803"/>
    <n v="328"/>
    <n v="41"/>
    <n v="25"/>
    <n v="2.1772767462422633E-2"/>
    <n v="3.34"/>
    <n v="2.1772767462422633E-2"/>
    <m/>
    <m/>
    <m/>
  </r>
  <r>
    <s v="POST-60512"/>
    <x v="2"/>
    <d v="2025-04-14T00:00:00"/>
    <x v="2"/>
    <n v="24711"/>
    <n v="15214"/>
    <n v="386"/>
    <n v="35"/>
    <n v="158"/>
    <n v="2.3430860750273157E-2"/>
    <n v="3.81"/>
    <n v="2.3430860750273157E-2"/>
    <m/>
    <m/>
    <m/>
  </r>
  <r>
    <s v="POST-60513"/>
    <x v="2"/>
    <d v="2025-04-26T00:00:00"/>
    <x v="0"/>
    <n v="6773"/>
    <n v="4868"/>
    <n v="133"/>
    <n v="13"/>
    <n v="28"/>
    <n v="2.5690240661449874E-2"/>
    <n v="3.57"/>
    <n v="2.5690240661449874E-2"/>
    <m/>
    <m/>
    <m/>
  </r>
  <r>
    <s v="POST-60514"/>
    <x v="1"/>
    <d v="2024-03-09T00:00:00"/>
    <x v="1"/>
    <n v="16541"/>
    <n v="9250"/>
    <n v="646"/>
    <n v="112"/>
    <n v="57"/>
    <n v="4.9271507164016688E-2"/>
    <n v="8.81"/>
    <n v="4.9271507164016688E-2"/>
    <m/>
    <m/>
    <m/>
  </r>
  <r>
    <s v="POST-60515"/>
    <x v="3"/>
    <d v="2025-01-03T00:00:00"/>
    <x v="2"/>
    <n v="237159"/>
    <n v="128305"/>
    <n v="14732"/>
    <n v="2455"/>
    <n v="2936"/>
    <n v="8.4850248145758755E-2"/>
    <n v="15.68"/>
    <n v="8.4850248145758755E-2"/>
    <m/>
    <m/>
    <m/>
  </r>
  <r>
    <s v="POST-60516"/>
    <x v="1"/>
    <d v="2025-03-16T00:00:00"/>
    <x v="1"/>
    <n v="14887"/>
    <n v="8575"/>
    <n v="514"/>
    <n v="33"/>
    <n v="64"/>
    <n v="4.1042520319742058E-2"/>
    <n v="7.13"/>
    <n v="4.1042520319742058E-2"/>
    <m/>
    <m/>
    <m/>
  </r>
  <r>
    <s v="POST-60517"/>
    <x v="1"/>
    <d v="2024-01-14T00:00:00"/>
    <x v="4"/>
    <n v="11666"/>
    <n v="8813"/>
    <n v="694"/>
    <n v="84"/>
    <n v="32"/>
    <n v="6.9432539002228705E-2"/>
    <n v="9.19"/>
    <n v="6.9432539002228705E-2"/>
    <m/>
    <m/>
    <m/>
  </r>
  <r>
    <s v="POST-60518"/>
    <x v="1"/>
    <d v="2024-01-27T00:00:00"/>
    <x v="2"/>
    <n v="14544"/>
    <n v="7587"/>
    <n v="486"/>
    <n v="111"/>
    <n v="57"/>
    <n v="4.496699669966997E-2"/>
    <n v="8.6199999999999992"/>
    <n v="4.496699669966997E-2"/>
    <m/>
    <m/>
    <m/>
  </r>
  <r>
    <s v="POST-60519"/>
    <x v="0"/>
    <d v="2025-03-25T00:00:00"/>
    <x v="2"/>
    <n v="58879"/>
    <n v="23183"/>
    <n v="884"/>
    <n v="413"/>
    <n v="186"/>
    <n v="2.5187248424735475E-2"/>
    <n v="6.4"/>
    <n v="2.5187248424735475E-2"/>
    <m/>
    <m/>
    <m/>
  </r>
  <r>
    <s v="POST-60520"/>
    <x v="4"/>
    <d v="2024-12-07T00:00:00"/>
    <x v="0"/>
    <n v="12952"/>
    <n v="9872"/>
    <n v="429"/>
    <n v="183"/>
    <n v="32"/>
    <n v="4.9722050648548489E-2"/>
    <n v="6.52"/>
    <n v="4.9722050648548489E-2"/>
    <m/>
    <m/>
    <m/>
  </r>
  <r>
    <s v="POST-60521"/>
    <x v="1"/>
    <d v="2025-09-15T00:00:00"/>
    <x v="4"/>
    <n v="58263"/>
    <n v="25374"/>
    <n v="811"/>
    <n v="348"/>
    <n v="67"/>
    <n v="2.1042514117021092E-2"/>
    <n v="4.83"/>
    <n v="2.1042514117021092E-2"/>
    <m/>
    <m/>
    <m/>
  </r>
  <r>
    <s v="POST-60522"/>
    <x v="1"/>
    <d v="2025-10-17T00:00:00"/>
    <x v="2"/>
    <n v="79853"/>
    <n v="53928"/>
    <n v="1857"/>
    <n v="481"/>
    <n v="443"/>
    <n v="3.4826493682140934E-2"/>
    <n v="5.16"/>
    <n v="3.4826493682140934E-2"/>
    <m/>
    <m/>
    <m/>
  </r>
  <r>
    <s v="POST-60523"/>
    <x v="0"/>
    <d v="2024-04-01T00:00:00"/>
    <x v="4"/>
    <n v="7562"/>
    <n v="4153"/>
    <n v="57"/>
    <n v="55"/>
    <n v="51"/>
    <n v="2.1555144141761438E-2"/>
    <n v="3.92"/>
    <n v="2.1555144141761438E-2"/>
    <m/>
    <m/>
    <m/>
  </r>
  <r>
    <s v="POST-60524"/>
    <x v="3"/>
    <d v="2025-05-14T00:00:00"/>
    <x v="3"/>
    <n v="85442"/>
    <n v="26782"/>
    <n v="1735"/>
    <n v="170"/>
    <n v="785"/>
    <n v="3.1483345427307415E-2"/>
    <n v="10.039999999999999"/>
    <n v="3.1483345427307415E-2"/>
    <m/>
    <m/>
    <m/>
  </r>
  <r>
    <s v="POST-60525"/>
    <x v="1"/>
    <d v="2025-05-07T00:00:00"/>
    <x v="3"/>
    <n v="92991"/>
    <n v="71950"/>
    <n v="2726"/>
    <n v="804"/>
    <n v="495"/>
    <n v="4.3283758643309571E-2"/>
    <n v="5.59"/>
    <n v="4.3283758643309571E-2"/>
    <m/>
    <m/>
    <m/>
  </r>
  <r>
    <s v="POST-60526"/>
    <x v="3"/>
    <d v="2024-10-22T00:00:00"/>
    <x v="3"/>
    <n v="301112"/>
    <n v="200204"/>
    <n v="8580"/>
    <n v="5836"/>
    <n v="9983"/>
    <n v="8.1029650096973882E-2"/>
    <n v="12.19"/>
    <n v="8.1029650096973882E-2"/>
    <m/>
    <m/>
    <m/>
  </r>
  <r>
    <s v="POST-60527"/>
    <x v="0"/>
    <d v="2025-06-03T00:00:00"/>
    <x v="2"/>
    <n v="34405"/>
    <n v="22484"/>
    <n v="344"/>
    <n v="407"/>
    <n v="636"/>
    <n v="4.0313907862229326E-2"/>
    <n v="6.17"/>
    <n v="4.0313907862229326E-2"/>
    <m/>
    <m/>
    <m/>
  </r>
  <r>
    <s v="POST-60528"/>
    <x v="0"/>
    <d v="2025-10-22T00:00:00"/>
    <x v="2"/>
    <n v="731"/>
    <n v="238"/>
    <n v="8"/>
    <n v="2"/>
    <n v="4"/>
    <n v="1.9151846785225718E-2"/>
    <n v="5.88"/>
    <n v="1.9151846785225718E-2"/>
    <m/>
    <m/>
    <m/>
  </r>
  <r>
    <s v="POST-60529"/>
    <x v="3"/>
    <d v="2025-06-06T00:00:00"/>
    <x v="2"/>
    <n v="120386"/>
    <n v="56351"/>
    <n v="5671"/>
    <n v="479"/>
    <n v="2188"/>
    <n v="6.926054524612496E-2"/>
    <n v="14.8"/>
    <n v="6.926054524612496E-2"/>
    <m/>
    <m/>
    <m/>
  </r>
  <r>
    <s v="POST-60530"/>
    <x v="1"/>
    <d v="2024-09-03T00:00:00"/>
    <x v="2"/>
    <n v="62072"/>
    <n v="27597"/>
    <n v="1429"/>
    <n v="260"/>
    <n v="97"/>
    <n v="2.8773037762598274E-2"/>
    <n v="6.47"/>
    <n v="2.8773037762598274E-2"/>
    <m/>
    <m/>
    <m/>
  </r>
  <r>
    <s v="POST-60531"/>
    <x v="4"/>
    <d v="2024-05-12T00:00:00"/>
    <x v="4"/>
    <n v="21231"/>
    <n v="9493"/>
    <n v="166"/>
    <n v="127"/>
    <n v="103"/>
    <n v="1.8651971174226366E-2"/>
    <n v="4.17"/>
    <n v="1.8651971174226366E-2"/>
    <m/>
    <m/>
    <m/>
  </r>
  <r>
    <s v="POST-60532"/>
    <x v="2"/>
    <d v="2025-01-25T00:00:00"/>
    <x v="0"/>
    <n v="24799"/>
    <n v="14219"/>
    <n v="159"/>
    <n v="107"/>
    <n v="50"/>
    <n v="1.2742449292310174E-2"/>
    <n v="2.2200000000000002"/>
    <n v="1.2742449292310174E-2"/>
    <m/>
    <m/>
    <m/>
  </r>
  <r>
    <s v="POST-60533"/>
    <x v="0"/>
    <d v="2024-01-17T00:00:00"/>
    <x v="2"/>
    <n v="3061"/>
    <n v="1290"/>
    <n v="63"/>
    <n v="7"/>
    <n v="28"/>
    <n v="3.2015681149950993E-2"/>
    <n v="7.6"/>
    <n v="3.2015681149950993E-2"/>
    <m/>
    <m/>
    <m/>
  </r>
  <r>
    <s v="POST-60534"/>
    <x v="3"/>
    <d v="2025-03-12T00:00:00"/>
    <x v="3"/>
    <n v="340043"/>
    <n v="161330"/>
    <n v="7093"/>
    <n v="2464"/>
    <n v="5353"/>
    <n v="4.3847395770534904E-2"/>
    <n v="9.24"/>
    <n v="4.3847395770534904E-2"/>
    <m/>
    <m/>
    <m/>
  </r>
  <r>
    <s v="POST-60535"/>
    <x v="2"/>
    <d v="2024-03-08T00:00:00"/>
    <x v="2"/>
    <n v="29619"/>
    <n v="22976"/>
    <n v="279"/>
    <n v="148"/>
    <n v="145"/>
    <n v="1.9311928154225329E-2"/>
    <n v="2.4900000000000002"/>
    <n v="1.9311928154225329E-2"/>
    <m/>
    <m/>
    <m/>
  </r>
  <r>
    <s v="POST-60536"/>
    <x v="3"/>
    <d v="2025-01-06T00:00:00"/>
    <x v="3"/>
    <n v="422846"/>
    <n v="225005"/>
    <n v="19967"/>
    <n v="2782"/>
    <n v="2634"/>
    <n v="6.0028946708730838E-2"/>
    <n v="11.28"/>
    <n v="6.0028946708730838E-2"/>
    <m/>
    <m/>
    <m/>
  </r>
  <r>
    <s v="POST-60537"/>
    <x v="0"/>
    <d v="2025-03-08T00:00:00"/>
    <x v="1"/>
    <n v="27037"/>
    <n v="11583"/>
    <n v="294"/>
    <n v="180"/>
    <n v="235"/>
    <n v="2.6223323593593965E-2"/>
    <n v="6.12"/>
    <n v="2.6223323593593965E-2"/>
    <m/>
    <m/>
    <m/>
  </r>
  <r>
    <s v="POST-60538"/>
    <x v="1"/>
    <d v="2025-09-22T00:00:00"/>
    <x v="3"/>
    <n v="58108"/>
    <n v="45986"/>
    <n v="1595"/>
    <n v="273"/>
    <n v="79"/>
    <n v="3.3506573965719003E-2"/>
    <n v="4.2300000000000004"/>
    <n v="3.3506573965719003E-2"/>
    <m/>
    <m/>
    <m/>
  </r>
  <r>
    <s v="POST-60539"/>
    <x v="0"/>
    <d v="2025-02-01T00:00:00"/>
    <x v="4"/>
    <n v="39598"/>
    <n v="27591"/>
    <n v="554"/>
    <n v="546"/>
    <n v="240"/>
    <n v="3.3840092933986564E-2"/>
    <n v="4.8600000000000003"/>
    <n v="3.3840092933986564E-2"/>
    <m/>
    <m/>
    <m/>
  </r>
  <r>
    <s v="POST-60540"/>
    <x v="1"/>
    <d v="2025-07-04T00:00:00"/>
    <x v="3"/>
    <n v="13315"/>
    <n v="8634"/>
    <n v="386"/>
    <n v="17"/>
    <n v="54"/>
    <n v="3.4322193015396171E-2"/>
    <n v="5.29"/>
    <n v="3.4322193015396171E-2"/>
    <m/>
    <m/>
    <m/>
  </r>
  <r>
    <s v="POST-60541"/>
    <x v="3"/>
    <d v="2025-10-05T00:00:00"/>
    <x v="3"/>
    <n v="205114"/>
    <n v="63793"/>
    <n v="2285"/>
    <n v="1498"/>
    <n v="1133"/>
    <n v="2.3967159725811014E-2"/>
    <n v="7.71"/>
    <n v="2.3967159725811014E-2"/>
    <m/>
    <m/>
    <m/>
  </r>
  <r>
    <s v="POST-60542"/>
    <x v="4"/>
    <d v="2025-09-13T00:00:00"/>
    <x v="0"/>
    <n v="13067"/>
    <n v="6556"/>
    <n v="329"/>
    <n v="126"/>
    <n v="46"/>
    <n v="3.8340858651565009E-2"/>
    <n v="7.64"/>
    <n v="3.8340858651565009E-2"/>
    <m/>
    <m/>
    <m/>
  </r>
  <r>
    <s v="POST-60543"/>
    <x v="4"/>
    <d v="2025-12-10T00:00:00"/>
    <x v="1"/>
    <n v="14564"/>
    <n v="6240"/>
    <n v="222"/>
    <n v="92"/>
    <n v="92"/>
    <n v="2.7876956879978029E-2"/>
    <n v="6.51"/>
    <n v="2.7876956879978029E-2"/>
    <m/>
    <m/>
    <m/>
  </r>
  <r>
    <s v="POST-60544"/>
    <x v="1"/>
    <d v="2025-08-24T00:00:00"/>
    <x v="2"/>
    <n v="84635"/>
    <n v="55737"/>
    <n v="1423"/>
    <n v="808"/>
    <n v="474"/>
    <n v="3.1960772729958058E-2"/>
    <n v="4.8499999999999996"/>
    <n v="3.1960772729958058E-2"/>
    <m/>
    <m/>
    <m/>
  </r>
  <r>
    <s v="POST-60545"/>
    <x v="4"/>
    <d v="2024-08-24T00:00:00"/>
    <x v="0"/>
    <n v="10273"/>
    <n v="5654"/>
    <n v="175"/>
    <n v="43"/>
    <n v="45"/>
    <n v="2.5601090236542393E-2"/>
    <n v="4.6500000000000004"/>
    <n v="2.5601090236542393E-2"/>
    <m/>
    <m/>
    <m/>
  </r>
  <r>
    <s v="POST-60546"/>
    <x v="2"/>
    <d v="2025-06-06T00:00:00"/>
    <x v="2"/>
    <n v="7109"/>
    <n v="4361"/>
    <n v="97"/>
    <n v="30"/>
    <n v="85"/>
    <n v="2.9821353214235475E-2"/>
    <n v="4.8600000000000003"/>
    <n v="2.9821353214235475E-2"/>
    <m/>
    <m/>
    <m/>
  </r>
  <r>
    <s v="POST-60547"/>
    <x v="0"/>
    <d v="2024-09-11T00:00:00"/>
    <x v="1"/>
    <n v="26436"/>
    <n v="17632"/>
    <n v="724"/>
    <n v="287"/>
    <n v="323"/>
    <n v="5.0461491904978062E-2"/>
    <n v="7.57"/>
    <n v="5.0461491904978062E-2"/>
    <m/>
    <m/>
    <m/>
  </r>
  <r>
    <s v="POST-60548"/>
    <x v="0"/>
    <d v="2025-07-12T00:00:00"/>
    <x v="1"/>
    <n v="10617"/>
    <n v="6587"/>
    <n v="162"/>
    <n v="66"/>
    <n v="156"/>
    <n v="3.6168409155128568E-2"/>
    <n v="5.83"/>
    <n v="3.6168409155128568E-2"/>
    <m/>
    <m/>
    <m/>
  </r>
  <r>
    <s v="POST-60549"/>
    <x v="0"/>
    <d v="2024-01-19T00:00:00"/>
    <x v="0"/>
    <n v="25704"/>
    <n v="17953"/>
    <n v="558"/>
    <n v="191"/>
    <n v="450"/>
    <n v="4.6646436352318708E-2"/>
    <n v="6.68"/>
    <n v="4.6646436352318708E-2"/>
    <m/>
    <m/>
    <m/>
  </r>
  <r>
    <s v="POST-60550"/>
    <x v="3"/>
    <d v="2024-09-03T00:00:00"/>
    <x v="3"/>
    <n v="280933"/>
    <n v="189679"/>
    <n v="7795"/>
    <n v="5204"/>
    <n v="4138"/>
    <n v="6.1000309682379787E-2"/>
    <n v="9.0299999999999994"/>
    <n v="6.1000309682379787E-2"/>
    <m/>
    <m/>
    <m/>
  </r>
  <r>
    <s v="POST-60551"/>
    <x v="1"/>
    <d v="2025-10-28T00:00:00"/>
    <x v="3"/>
    <n v="68366"/>
    <n v="35477"/>
    <n v="1826"/>
    <n v="351"/>
    <n v="194"/>
    <n v="3.4680981774566307E-2"/>
    <n v="6.68"/>
    <n v="3.4680981774566307E-2"/>
    <m/>
    <m/>
    <m/>
  </r>
  <r>
    <s v="POST-60552"/>
    <x v="3"/>
    <d v="2025-04-03T00:00:00"/>
    <x v="3"/>
    <n v="335088"/>
    <n v="169663"/>
    <n v="15633"/>
    <n v="2559"/>
    <n v="6680"/>
    <n v="7.4225278135892664E-2"/>
    <n v="14.66"/>
    <n v="7.4225278135892664E-2"/>
    <m/>
    <m/>
    <m/>
  </r>
  <r>
    <s v="POST-60553"/>
    <x v="3"/>
    <d v="2024-12-26T00:00:00"/>
    <x v="3"/>
    <n v="483615"/>
    <n v="199498"/>
    <n v="22698"/>
    <n v="2739"/>
    <n v="3031"/>
    <n v="5.8865006254975552E-2"/>
    <n v="14.27"/>
    <n v="5.8865006254975552E-2"/>
    <m/>
    <m/>
    <m/>
  </r>
  <r>
    <s v="POST-60554"/>
    <x v="0"/>
    <d v="2024-01-08T00:00:00"/>
    <x v="0"/>
    <n v="19259"/>
    <n v="12826"/>
    <n v="282"/>
    <n v="178"/>
    <n v="354"/>
    <n v="4.2265953580144351E-2"/>
    <n v="6.35"/>
    <n v="4.2265953580144351E-2"/>
    <m/>
    <m/>
    <m/>
  </r>
  <r>
    <s v="POST-60555"/>
    <x v="3"/>
    <d v="2025-10-04T00:00:00"/>
    <x v="3"/>
    <n v="105734"/>
    <n v="49365"/>
    <n v="3314"/>
    <n v="1127"/>
    <n v="2353"/>
    <n v="6.4255584769326801E-2"/>
    <n v="13.76"/>
    <n v="6.4255584769326801E-2"/>
    <m/>
    <m/>
    <m/>
  </r>
  <r>
    <s v="POST-60556"/>
    <x v="3"/>
    <d v="2024-06-16T00:00:00"/>
    <x v="2"/>
    <n v="314434"/>
    <n v="216610"/>
    <n v="17538"/>
    <n v="2841"/>
    <n v="3817"/>
    <n v="7.6950965862470341E-2"/>
    <n v="11.17"/>
    <n v="7.6950965862470341E-2"/>
    <m/>
    <m/>
    <m/>
  </r>
  <r>
    <s v="POST-60557"/>
    <x v="4"/>
    <d v="2025-02-01T00:00:00"/>
    <x v="0"/>
    <n v="3279"/>
    <n v="2511"/>
    <n v="111"/>
    <n v="24"/>
    <n v="27"/>
    <n v="4.9405306495882893E-2"/>
    <n v="6.45"/>
    <n v="4.9405306495882893E-2"/>
    <m/>
    <m/>
    <m/>
  </r>
  <r>
    <s v="POST-60558"/>
    <x v="0"/>
    <d v="2024-02-22T00:00:00"/>
    <x v="4"/>
    <n v="49064"/>
    <n v="33184"/>
    <n v="1143"/>
    <n v="345"/>
    <n v="511"/>
    <n v="4.0742703407793901E-2"/>
    <n v="6.02"/>
    <n v="4.0742703407793901E-2"/>
    <m/>
    <m/>
    <m/>
  </r>
  <r>
    <s v="POST-60559"/>
    <x v="4"/>
    <d v="2025-05-18T00:00:00"/>
    <x v="0"/>
    <n v="13079"/>
    <n v="8025"/>
    <n v="217"/>
    <n v="177"/>
    <n v="97"/>
    <n v="3.7541096414098939E-2"/>
    <n v="6.12"/>
    <n v="3.7541096414098939E-2"/>
    <m/>
    <m/>
    <m/>
  </r>
  <r>
    <s v="POST-60560"/>
    <x v="0"/>
    <d v="2025-02-18T00:00:00"/>
    <x v="2"/>
    <n v="68875"/>
    <n v="37350"/>
    <n v="1165"/>
    <n v="516"/>
    <n v="980"/>
    <n v="3.8635208711433756E-2"/>
    <n v="7.12"/>
    <n v="3.8635208711433756E-2"/>
    <m/>
    <m/>
    <m/>
  </r>
  <r>
    <s v="POST-60561"/>
    <x v="3"/>
    <d v="2024-02-19T00:00:00"/>
    <x v="2"/>
    <n v="292218"/>
    <n v="150070"/>
    <n v="4971"/>
    <n v="824"/>
    <n v="2913"/>
    <n v="2.979967010930196E-2"/>
    <n v="5.8"/>
    <n v="2.979967010930196E-2"/>
    <m/>
    <m/>
    <m/>
  </r>
  <r>
    <s v="POST-60562"/>
    <x v="0"/>
    <d v="2024-07-22T00:00:00"/>
    <x v="4"/>
    <n v="2008"/>
    <n v="1078"/>
    <n v="37"/>
    <n v="15"/>
    <n v="19"/>
    <n v="3.5358565737051796E-2"/>
    <n v="6.59"/>
    <n v="3.5358565737051796E-2"/>
    <m/>
    <m/>
    <m/>
  </r>
  <r>
    <s v="POST-60563"/>
    <x v="3"/>
    <d v="2025-06-11T00:00:00"/>
    <x v="3"/>
    <n v="186197"/>
    <n v="110046"/>
    <n v="12065"/>
    <n v="3260"/>
    <n v="1251"/>
    <n v="8.9023990719506757E-2"/>
    <n v="15.06"/>
    <n v="8.9023990719506757E-2"/>
    <m/>
    <m/>
    <m/>
  </r>
  <r>
    <s v="POST-60564"/>
    <x v="4"/>
    <d v="2024-03-09T00:00:00"/>
    <x v="1"/>
    <n v="10544"/>
    <n v="6025"/>
    <n v="320"/>
    <n v="69"/>
    <n v="23"/>
    <n v="3.9074355083459786E-2"/>
    <n v="6.84"/>
    <n v="3.9074355083459786E-2"/>
    <m/>
    <m/>
    <m/>
  </r>
  <r>
    <s v="POST-60565"/>
    <x v="3"/>
    <d v="2025-02-14T00:00:00"/>
    <x v="2"/>
    <n v="150291"/>
    <n v="79412"/>
    <n v="9221"/>
    <n v="888"/>
    <n v="1254"/>
    <n v="7.5606656419878765E-2"/>
    <n v="14.31"/>
    <n v="7.5606656419878765E-2"/>
    <m/>
    <m/>
    <m/>
  </r>
  <r>
    <s v="POST-60566"/>
    <x v="4"/>
    <d v="2025-03-30T00:00:00"/>
    <x v="2"/>
    <n v="10578"/>
    <n v="6220"/>
    <n v="371"/>
    <n v="107"/>
    <n v="73"/>
    <n v="5.2089241822650782E-2"/>
    <n v="8.86"/>
    <n v="5.2089241822650782E-2"/>
    <m/>
    <m/>
    <m/>
  </r>
  <r>
    <s v="POST-60567"/>
    <x v="3"/>
    <d v="2025-02-03T00:00:00"/>
    <x v="3"/>
    <n v="125093"/>
    <n v="59574"/>
    <n v="1936"/>
    <n v="574"/>
    <n v="2658"/>
    <n v="4.131326293237831E-2"/>
    <n v="8.67"/>
    <n v="4.131326293237831E-2"/>
    <m/>
    <m/>
    <m/>
  </r>
  <r>
    <s v="POST-60568"/>
    <x v="0"/>
    <d v="2024-08-29T00:00:00"/>
    <x v="4"/>
    <n v="34704"/>
    <n v="23012"/>
    <n v="396"/>
    <n v="198"/>
    <n v="278"/>
    <n v="2.512678653757492E-2"/>
    <n v="3.79"/>
    <n v="2.512678653757492E-2"/>
    <m/>
    <m/>
    <m/>
  </r>
  <r>
    <s v="POST-60569"/>
    <x v="2"/>
    <d v="2025-07-12T00:00:00"/>
    <x v="0"/>
    <n v="9830"/>
    <n v="8700"/>
    <n v="72"/>
    <n v="37"/>
    <n v="32"/>
    <n v="1.434384537131231E-2"/>
    <n v="1.62"/>
    <n v="1.434384537131231E-2"/>
    <m/>
    <m/>
    <m/>
  </r>
  <r>
    <s v="POST-60570"/>
    <x v="1"/>
    <d v="2024-05-02T00:00:00"/>
    <x v="1"/>
    <n v="16856"/>
    <n v="8393"/>
    <n v="481"/>
    <n v="124"/>
    <n v="61"/>
    <n v="3.9511153298528716E-2"/>
    <n v="7.94"/>
    <n v="3.9511153298528716E-2"/>
    <m/>
    <m/>
    <m/>
  </r>
  <r>
    <s v="POST-60571"/>
    <x v="1"/>
    <d v="2025-02-16T00:00:00"/>
    <x v="3"/>
    <n v="10726"/>
    <n v="8238"/>
    <n v="610"/>
    <n v="72"/>
    <n v="12"/>
    <n v="6.4702591832929326E-2"/>
    <n v="8.42"/>
    <n v="6.4702591832929326E-2"/>
    <m/>
    <m/>
    <m/>
  </r>
  <r>
    <s v="POST-60572"/>
    <x v="0"/>
    <d v="2024-09-17T00:00:00"/>
    <x v="1"/>
    <n v="430"/>
    <n v="140"/>
    <n v="4"/>
    <n v="0"/>
    <n v="2"/>
    <n v="1.3953488372093023E-2"/>
    <n v="4.29"/>
    <n v="1.3953488372093023E-2"/>
    <m/>
    <m/>
    <m/>
  </r>
  <r>
    <s v="POST-60573"/>
    <x v="1"/>
    <d v="2024-09-07T00:00:00"/>
    <x v="2"/>
    <n v="39894"/>
    <n v="18610"/>
    <n v="1028"/>
    <n v="93"/>
    <n v="49"/>
    <n v="2.9327718453902842E-2"/>
    <n v="6.29"/>
    <n v="2.9327718453902842E-2"/>
    <m/>
    <m/>
    <m/>
  </r>
  <r>
    <s v="POST-60574"/>
    <x v="2"/>
    <d v="2025-08-01T00:00:00"/>
    <x v="1"/>
    <n v="8400"/>
    <n v="4395"/>
    <n v="82"/>
    <n v="30"/>
    <n v="10"/>
    <n v="1.4523809523809524E-2"/>
    <n v="2.78"/>
    <n v="1.4523809523809524E-2"/>
    <m/>
    <m/>
    <m/>
  </r>
  <r>
    <s v="POST-60575"/>
    <x v="0"/>
    <d v="2025-02-25T00:00:00"/>
    <x v="2"/>
    <n v="8815"/>
    <n v="4648"/>
    <n v="155"/>
    <n v="83"/>
    <n v="59"/>
    <n v="3.3692569483834374E-2"/>
    <n v="6.39"/>
    <n v="3.3692569483834374E-2"/>
    <m/>
    <m/>
    <m/>
  </r>
  <r>
    <s v="POST-60576"/>
    <x v="3"/>
    <d v="2024-03-09T00:00:00"/>
    <x v="3"/>
    <n v="31337"/>
    <n v="18849"/>
    <n v="1063"/>
    <n v="213"/>
    <n v="558"/>
    <n v="5.8525066215655612E-2"/>
    <n v="9.73"/>
    <n v="5.8525066215655612E-2"/>
    <m/>
    <m/>
    <m/>
  </r>
  <r>
    <s v="POST-60577"/>
    <x v="1"/>
    <d v="2024-02-01T00:00:00"/>
    <x v="4"/>
    <n v="40741"/>
    <n v="30669"/>
    <n v="2358"/>
    <n v="373"/>
    <n v="142"/>
    <n v="7.0518642154095382E-2"/>
    <n v="9.3699999999999992"/>
    <n v="7.0518642154095382E-2"/>
    <m/>
    <m/>
    <m/>
  </r>
  <r>
    <s v="POST-60578"/>
    <x v="1"/>
    <d v="2025-06-28T00:00:00"/>
    <x v="2"/>
    <n v="90765"/>
    <n v="39448"/>
    <n v="3115"/>
    <n v="465"/>
    <n v="278"/>
    <n v="4.2505371013055696E-2"/>
    <n v="9.7799999999999994"/>
    <n v="4.2505371013055696E-2"/>
    <m/>
    <m/>
    <m/>
  </r>
  <r>
    <s v="POST-60579"/>
    <x v="0"/>
    <d v="2024-10-01T00:00:00"/>
    <x v="2"/>
    <n v="59087"/>
    <n v="26659"/>
    <n v="1037"/>
    <n v="255"/>
    <n v="412"/>
    <n v="2.8838830876504139E-2"/>
    <n v="6.39"/>
    <n v="2.8838830876504139E-2"/>
    <m/>
    <m/>
    <m/>
  </r>
  <r>
    <s v="POST-60580"/>
    <x v="4"/>
    <d v="2025-12-03T00:00:00"/>
    <x v="1"/>
    <n v="10178"/>
    <n v="6696"/>
    <n v="230"/>
    <n v="115"/>
    <n v="33"/>
    <n v="3.7138927097661624E-2"/>
    <n v="5.65"/>
    <n v="3.7138927097661624E-2"/>
    <m/>
    <m/>
    <m/>
  </r>
  <r>
    <s v="POST-60581"/>
    <x v="3"/>
    <d v="2025-06-22T00:00:00"/>
    <x v="3"/>
    <n v="93677"/>
    <n v="47760"/>
    <n v="2519"/>
    <n v="767"/>
    <n v="1608"/>
    <n v="5.2243346819390031E-2"/>
    <n v="10.25"/>
    <n v="5.2243346819390031E-2"/>
    <m/>
    <m/>
    <m/>
  </r>
  <r>
    <s v="POST-60582"/>
    <x v="1"/>
    <d v="2024-07-31T00:00:00"/>
    <x v="4"/>
    <n v="72995"/>
    <n v="57555"/>
    <n v="3273"/>
    <n v="169"/>
    <n v="105"/>
    <n v="4.8592369340365781E-2"/>
    <n v="6.16"/>
    <n v="4.8592369340365781E-2"/>
    <m/>
    <m/>
    <m/>
  </r>
  <r>
    <s v="POST-60583"/>
    <x v="0"/>
    <d v="2025-10-14T00:00:00"/>
    <x v="0"/>
    <n v="4486"/>
    <n v="1431"/>
    <n v="29"/>
    <n v="9"/>
    <n v="29"/>
    <n v="1.4935354436023182E-2"/>
    <n v="4.68"/>
    <n v="1.4935354436023182E-2"/>
    <m/>
    <m/>
    <m/>
  </r>
  <r>
    <s v="POST-60584"/>
    <x v="3"/>
    <d v="2025-09-01T00:00:00"/>
    <x v="2"/>
    <n v="237487"/>
    <n v="99914"/>
    <n v="8276"/>
    <n v="1453"/>
    <n v="1566"/>
    <n v="4.756049804831422E-2"/>
    <n v="11.3"/>
    <n v="4.756049804831422E-2"/>
    <m/>
    <m/>
    <m/>
  </r>
  <r>
    <s v="POST-60585"/>
    <x v="0"/>
    <d v="2025-02-03T00:00:00"/>
    <x v="0"/>
    <n v="10170"/>
    <n v="4591"/>
    <n v="190"/>
    <n v="42"/>
    <n v="85"/>
    <n v="3.1170108161258602E-2"/>
    <n v="6.9"/>
    <n v="3.1170108161258602E-2"/>
    <m/>
    <m/>
    <m/>
  </r>
  <r>
    <s v="POST-60586"/>
    <x v="0"/>
    <d v="2024-07-22T00:00:00"/>
    <x v="4"/>
    <n v="27574"/>
    <n v="8874"/>
    <n v="182"/>
    <n v="129"/>
    <n v="83"/>
    <n v="1.4288822804090811E-2"/>
    <n v="4.4400000000000004"/>
    <n v="1.4288822804090811E-2"/>
    <m/>
    <m/>
    <m/>
  </r>
  <r>
    <s v="POST-60587"/>
    <x v="3"/>
    <d v="2024-08-07T00:00:00"/>
    <x v="2"/>
    <n v="352524"/>
    <n v="141986"/>
    <n v="11532"/>
    <n v="983"/>
    <n v="2854"/>
    <n v="4.3597031691459308E-2"/>
    <n v="10.82"/>
    <n v="4.3597031691459308E-2"/>
    <m/>
    <m/>
    <m/>
  </r>
  <r>
    <s v="POST-60588"/>
    <x v="0"/>
    <d v="2025-04-14T00:00:00"/>
    <x v="4"/>
    <n v="43587"/>
    <n v="19157"/>
    <n v="349"/>
    <n v="287"/>
    <n v="144"/>
    <n v="1.7895243994769081E-2"/>
    <n v="4.07"/>
    <n v="1.7895243994769081E-2"/>
    <m/>
    <m/>
    <m/>
  </r>
  <r>
    <s v="POST-60589"/>
    <x v="3"/>
    <d v="2025-03-19T00:00:00"/>
    <x v="3"/>
    <n v="212134"/>
    <n v="64001"/>
    <n v="7316"/>
    <n v="629"/>
    <n v="1698"/>
    <n v="4.5457116728105817E-2"/>
    <n v="15.07"/>
    <n v="4.5457116728105817E-2"/>
    <m/>
    <m/>
    <m/>
  </r>
  <r>
    <s v="POST-60590"/>
    <x v="1"/>
    <d v="2025-12-16T00:00:00"/>
    <x v="4"/>
    <n v="40971"/>
    <n v="24583"/>
    <n v="1757"/>
    <n v="204"/>
    <n v="198"/>
    <n v="5.2695809230919433E-2"/>
    <n v="8.7799999999999994"/>
    <n v="5.2695809230919433E-2"/>
    <m/>
    <m/>
    <m/>
  </r>
  <r>
    <s v="POST-60591"/>
    <x v="3"/>
    <d v="2024-07-26T00:00:00"/>
    <x v="3"/>
    <n v="335537"/>
    <n v="139187"/>
    <n v="5211"/>
    <n v="2098"/>
    <n v="4949"/>
    <n v="3.653248374992922E-2"/>
    <n v="8.81"/>
    <n v="3.653248374992922E-2"/>
    <m/>
    <m/>
    <m/>
  </r>
  <r>
    <s v="POST-60592"/>
    <x v="3"/>
    <d v="2025-01-14T00:00:00"/>
    <x v="3"/>
    <n v="131357"/>
    <n v="89146"/>
    <n v="2771"/>
    <n v="2281"/>
    <n v="1327"/>
    <n v="4.8562314912794904E-2"/>
    <n v="7.16"/>
    <n v="4.8562314912794904E-2"/>
    <m/>
    <m/>
    <m/>
  </r>
  <r>
    <s v="POST-60593"/>
    <x v="0"/>
    <d v="2025-12-25T00:00:00"/>
    <x v="1"/>
    <n v="5270"/>
    <n v="3016"/>
    <n v="56"/>
    <n v="48"/>
    <n v="36"/>
    <n v="2.6565464895635674E-2"/>
    <n v="4.6399999999999997"/>
    <n v="2.6565464895635674E-2"/>
    <m/>
    <m/>
    <m/>
  </r>
  <r>
    <s v="POST-60594"/>
    <x v="2"/>
    <d v="2024-05-25T00:00:00"/>
    <x v="1"/>
    <n v="4484"/>
    <n v="2836"/>
    <n v="65"/>
    <n v="11"/>
    <n v="11"/>
    <n v="1.9402319357716323E-2"/>
    <n v="3.07"/>
    <n v="1.9402319357716323E-2"/>
    <m/>
    <m/>
    <m/>
  </r>
  <r>
    <s v="POST-60595"/>
    <x v="1"/>
    <d v="2025-12-05T00:00:00"/>
    <x v="1"/>
    <n v="20916"/>
    <n v="12784"/>
    <n v="388"/>
    <n v="93"/>
    <n v="102"/>
    <n v="2.7873398355326068E-2"/>
    <n v="4.5599999999999996"/>
    <n v="2.7873398355326068E-2"/>
    <m/>
    <m/>
    <m/>
  </r>
  <r>
    <s v="POST-60596"/>
    <x v="4"/>
    <d v="2025-03-26T00:00:00"/>
    <x v="4"/>
    <n v="5694"/>
    <n v="2972"/>
    <n v="80"/>
    <n v="16"/>
    <n v="29"/>
    <n v="2.195293291183702E-2"/>
    <n v="4.21"/>
    <n v="2.195293291183702E-2"/>
    <m/>
    <m/>
    <m/>
  </r>
  <r>
    <s v="POST-60597"/>
    <x v="2"/>
    <d v="2024-08-20T00:00:00"/>
    <x v="1"/>
    <n v="19943"/>
    <n v="13635"/>
    <n v="284"/>
    <n v="18"/>
    <n v="188"/>
    <n v="2.4570024570024569E-2"/>
    <n v="3.59"/>
    <n v="2.4570024570024569E-2"/>
    <m/>
    <m/>
    <m/>
  </r>
  <r>
    <s v="POST-60598"/>
    <x v="1"/>
    <d v="2024-09-03T00:00:00"/>
    <x v="2"/>
    <n v="32370"/>
    <n v="19733"/>
    <n v="511"/>
    <n v="174"/>
    <n v="134"/>
    <n v="2.5301204819277109E-2"/>
    <n v="4.1500000000000004"/>
    <n v="2.5301204819277109E-2"/>
    <m/>
    <m/>
    <m/>
  </r>
  <r>
    <s v="POST-60599"/>
    <x v="4"/>
    <d v="2025-09-29T00:00:00"/>
    <x v="0"/>
    <n v="3743"/>
    <n v="2527"/>
    <n v="46"/>
    <n v="54"/>
    <n v="20"/>
    <n v="3.205984504408229E-2"/>
    <n v="4.75"/>
    <n v="3.205984504408229E-2"/>
    <m/>
    <m/>
    <m/>
  </r>
  <r>
    <s v="POST-60600"/>
    <x v="0"/>
    <d v="2025-05-05T00:00:00"/>
    <x v="4"/>
    <n v="985"/>
    <n v="595"/>
    <n v="12"/>
    <n v="11"/>
    <n v="16"/>
    <n v="3.9593908629441621E-2"/>
    <n v="6.55"/>
    <n v="3.9593908629441621E-2"/>
    <m/>
    <m/>
    <m/>
  </r>
  <r>
    <s v="POST-60601"/>
    <x v="1"/>
    <d v="2025-11-04T00:00:00"/>
    <x v="4"/>
    <n v="59877"/>
    <n v="28609"/>
    <n v="1482"/>
    <n v="114"/>
    <n v="34"/>
    <n v="2.7222472735775004E-2"/>
    <n v="5.7"/>
    <n v="2.7222472735775004E-2"/>
    <m/>
    <m/>
    <m/>
  </r>
  <r>
    <s v="POST-60602"/>
    <x v="2"/>
    <d v="2024-09-16T00:00:00"/>
    <x v="0"/>
    <n v="13715"/>
    <n v="9874"/>
    <n v="126"/>
    <n v="78"/>
    <n v="183"/>
    <n v="2.821728034998177E-2"/>
    <n v="3.92"/>
    <n v="2.821728034998177E-2"/>
    <m/>
    <m/>
    <m/>
  </r>
  <r>
    <s v="POST-60603"/>
    <x v="0"/>
    <d v="2025-04-04T00:00:00"/>
    <x v="2"/>
    <n v="64617"/>
    <n v="29828"/>
    <n v="1223"/>
    <n v="462"/>
    <n v="805"/>
    <n v="3.8534750916941363E-2"/>
    <n v="8.35"/>
    <n v="3.8534750916941363E-2"/>
    <m/>
    <m/>
    <m/>
  </r>
  <r>
    <s v="POST-60604"/>
    <x v="2"/>
    <d v="2025-07-27T00:00:00"/>
    <x v="2"/>
    <n v="51684"/>
    <n v="33219"/>
    <n v="461"/>
    <n v="233"/>
    <n v="575"/>
    <n v="2.4553053169259344E-2"/>
    <n v="3.82"/>
    <n v="2.4553053169259344E-2"/>
    <m/>
    <m/>
    <m/>
  </r>
  <r>
    <s v="POST-60605"/>
    <x v="4"/>
    <d v="2025-05-30T00:00:00"/>
    <x v="0"/>
    <n v="12490"/>
    <n v="5469"/>
    <n v="277"/>
    <n v="108"/>
    <n v="34"/>
    <n v="3.3546837469975978E-2"/>
    <n v="7.66"/>
    <n v="3.3546837469975978E-2"/>
    <m/>
    <m/>
    <m/>
  </r>
  <r>
    <s v="POST-60606"/>
    <x v="4"/>
    <d v="2025-06-04T00:00:00"/>
    <x v="4"/>
    <n v="23813"/>
    <n v="9670"/>
    <n v="159"/>
    <n v="65"/>
    <n v="74"/>
    <n v="1.251417293075211E-2"/>
    <n v="3.08"/>
    <n v="1.251417293075211E-2"/>
    <m/>
    <m/>
    <m/>
  </r>
  <r>
    <s v="POST-60607"/>
    <x v="3"/>
    <d v="2024-04-28T00:00:00"/>
    <x v="3"/>
    <n v="257734"/>
    <n v="167895"/>
    <n v="5785"/>
    <n v="1085"/>
    <n v="6677"/>
    <n v="5.2561943709405819E-2"/>
    <n v="8.07"/>
    <n v="5.2561943709405819E-2"/>
    <m/>
    <m/>
    <m/>
  </r>
  <r>
    <s v="POST-60608"/>
    <x v="3"/>
    <d v="2024-09-26T00:00:00"/>
    <x v="2"/>
    <n v="23805"/>
    <n v="12937"/>
    <n v="946"/>
    <n v="138"/>
    <n v="332"/>
    <n v="5.9483301827347193E-2"/>
    <n v="10.95"/>
    <n v="5.9483301827347193E-2"/>
    <m/>
    <m/>
    <m/>
  </r>
  <r>
    <s v="POST-60609"/>
    <x v="3"/>
    <d v="2025-05-21T00:00:00"/>
    <x v="3"/>
    <n v="225861"/>
    <n v="80749"/>
    <n v="8334"/>
    <n v="2281"/>
    <n v="2464"/>
    <n v="5.7907296965832966E-2"/>
    <n v="16.2"/>
    <n v="5.7907296965832966E-2"/>
    <m/>
    <m/>
    <m/>
  </r>
  <r>
    <s v="POST-60610"/>
    <x v="1"/>
    <d v="2025-08-17T00:00:00"/>
    <x v="3"/>
    <n v="32439"/>
    <n v="24893"/>
    <n v="1522"/>
    <n v="250"/>
    <n v="126"/>
    <n v="5.8509818428434911E-2"/>
    <n v="7.62"/>
    <n v="5.8509818428434911E-2"/>
    <m/>
    <m/>
    <m/>
  </r>
  <r>
    <s v="POST-60611"/>
    <x v="1"/>
    <d v="2024-06-30T00:00:00"/>
    <x v="4"/>
    <n v="57901"/>
    <n v="37650"/>
    <n v="1623"/>
    <n v="445"/>
    <n v="126"/>
    <n v="3.7892264382307729E-2"/>
    <n v="5.83"/>
    <n v="3.7892264382307729E-2"/>
    <m/>
    <m/>
    <m/>
  </r>
  <r>
    <s v="POST-60612"/>
    <x v="4"/>
    <d v="2025-05-17T00:00:00"/>
    <x v="4"/>
    <n v="19096"/>
    <n v="11955"/>
    <n v="182"/>
    <n v="270"/>
    <n v="159"/>
    <n v="3.1996229576874737E-2"/>
    <n v="5.1100000000000003"/>
    <n v="3.1996229576874737E-2"/>
    <m/>
    <m/>
    <m/>
  </r>
  <r>
    <s v="POST-60613"/>
    <x v="1"/>
    <d v="2024-05-11T00:00:00"/>
    <x v="1"/>
    <n v="4308"/>
    <n v="2949"/>
    <n v="143"/>
    <n v="12"/>
    <n v="16"/>
    <n v="3.9693593314763229E-2"/>
    <n v="5.8"/>
    <n v="3.9693593314763229E-2"/>
    <m/>
    <m/>
    <m/>
  </r>
  <r>
    <s v="POST-60614"/>
    <x v="3"/>
    <d v="2025-04-24T00:00:00"/>
    <x v="3"/>
    <n v="374495"/>
    <n v="174291"/>
    <n v="13416"/>
    <n v="3573"/>
    <n v="8458"/>
    <n v="6.7950172899504668E-2"/>
    <n v="14.6"/>
    <n v="6.7950172899504668E-2"/>
    <m/>
    <m/>
    <m/>
  </r>
  <r>
    <s v="POST-60615"/>
    <x v="3"/>
    <d v="2025-07-14T00:00:00"/>
    <x v="3"/>
    <n v="305982"/>
    <n v="126621"/>
    <n v="6294"/>
    <n v="1307"/>
    <n v="2027"/>
    <n v="3.146590322306541E-2"/>
    <n v="7.6"/>
    <n v="3.146590322306541E-2"/>
    <m/>
    <m/>
    <m/>
  </r>
  <r>
    <s v="POST-60616"/>
    <x v="1"/>
    <d v="2025-12-14T00:00:00"/>
    <x v="2"/>
    <n v="78081"/>
    <n v="46642"/>
    <n v="1676"/>
    <n v="643"/>
    <n v="228"/>
    <n v="3.2619971567987092E-2"/>
    <n v="5.46"/>
    <n v="3.2619971567987092E-2"/>
    <m/>
    <m/>
    <m/>
  </r>
  <r>
    <s v="POST-60617"/>
    <x v="0"/>
    <d v="2024-06-04T00:00:00"/>
    <x v="0"/>
    <n v="5666"/>
    <n v="2551"/>
    <n v="121"/>
    <n v="24"/>
    <n v="59"/>
    <n v="3.6004235792446167E-2"/>
    <n v="8"/>
    <n v="3.6004235792446167E-2"/>
    <m/>
    <m/>
    <m/>
  </r>
  <r>
    <s v="POST-60618"/>
    <x v="3"/>
    <d v="2025-02-17T00:00:00"/>
    <x v="2"/>
    <n v="282470"/>
    <n v="186650"/>
    <n v="9599"/>
    <n v="3836"/>
    <n v="7693"/>
    <n v="7.4797323609586852E-2"/>
    <n v="11.32"/>
    <n v="7.4797323609586852E-2"/>
    <m/>
    <m/>
    <m/>
  </r>
  <r>
    <s v="POST-60619"/>
    <x v="0"/>
    <d v="2024-12-08T00:00:00"/>
    <x v="1"/>
    <n v="8276"/>
    <n v="4573"/>
    <n v="96"/>
    <n v="75"/>
    <n v="90"/>
    <n v="3.1536974383760269E-2"/>
    <n v="5.71"/>
    <n v="3.1536974383760269E-2"/>
    <m/>
    <m/>
    <m/>
  </r>
  <r>
    <s v="POST-60620"/>
    <x v="2"/>
    <d v="2025-02-08T00:00:00"/>
    <x v="1"/>
    <n v="14687"/>
    <n v="11612"/>
    <n v="127"/>
    <n v="23"/>
    <n v="63"/>
    <n v="1.450262136583373E-2"/>
    <n v="1.83"/>
    <n v="1.450262136583373E-2"/>
    <m/>
    <m/>
    <m/>
  </r>
  <r>
    <s v="POST-60621"/>
    <x v="2"/>
    <d v="2024-10-09T00:00:00"/>
    <x v="0"/>
    <n v="8640"/>
    <n v="6048"/>
    <n v="127"/>
    <n v="38"/>
    <n v="53"/>
    <n v="2.5231481481481483E-2"/>
    <n v="3.6"/>
    <n v="2.5231481481481483E-2"/>
    <m/>
    <m/>
    <m/>
  </r>
  <r>
    <s v="POST-60622"/>
    <x v="4"/>
    <d v="2025-11-22T00:00:00"/>
    <x v="0"/>
    <n v="11681"/>
    <n v="8863"/>
    <n v="407"/>
    <n v="183"/>
    <n v="71"/>
    <n v="5.6587620922866191E-2"/>
    <n v="7.46"/>
    <n v="5.6587620922866191E-2"/>
    <m/>
    <m/>
    <m/>
  </r>
  <r>
    <s v="POST-60623"/>
    <x v="3"/>
    <d v="2025-03-31T00:00:00"/>
    <x v="2"/>
    <n v="382426"/>
    <n v="151935"/>
    <n v="17874"/>
    <n v="1085"/>
    <n v="1646"/>
    <n v="5.3879704831784447E-2"/>
    <n v="13.56"/>
    <n v="5.3879704831784447E-2"/>
    <m/>
    <m/>
    <m/>
  </r>
  <r>
    <s v="POST-60624"/>
    <x v="2"/>
    <d v="2024-01-31T00:00:00"/>
    <x v="1"/>
    <n v="4755"/>
    <n v="4004"/>
    <n v="36"/>
    <n v="12"/>
    <n v="30"/>
    <n v="1.6403785488958992E-2"/>
    <n v="1.95"/>
    <n v="1.6403785488958992E-2"/>
    <m/>
    <m/>
    <m/>
  </r>
  <r>
    <s v="POST-60625"/>
    <x v="2"/>
    <d v="2024-09-21T00:00:00"/>
    <x v="2"/>
    <n v="56581"/>
    <n v="39633"/>
    <n v="457"/>
    <n v="260"/>
    <n v="237"/>
    <n v="1.6860783655290645E-2"/>
    <n v="2.41"/>
    <n v="1.6860783655290645E-2"/>
    <m/>
    <m/>
    <m/>
  </r>
  <r>
    <s v="POST-60626"/>
    <x v="2"/>
    <d v="2024-03-31T00:00:00"/>
    <x v="0"/>
    <n v="13892"/>
    <n v="9761"/>
    <n v="108"/>
    <n v="71"/>
    <n v="142"/>
    <n v="2.3106824071408006E-2"/>
    <n v="3.29"/>
    <n v="2.3106824071408006E-2"/>
    <m/>
    <m/>
    <m/>
  </r>
  <r>
    <s v="POST-60627"/>
    <x v="1"/>
    <d v="2024-09-08T00:00:00"/>
    <x v="4"/>
    <n v="66709"/>
    <n v="49001"/>
    <n v="1938"/>
    <n v="402"/>
    <n v="197"/>
    <n v="3.8030850409989658E-2"/>
    <n v="5.18"/>
    <n v="3.8030850409989658E-2"/>
    <m/>
    <m/>
    <m/>
  </r>
  <r>
    <s v="POST-60628"/>
    <x v="1"/>
    <d v="2024-04-10T00:00:00"/>
    <x v="1"/>
    <n v="24231"/>
    <n v="17799"/>
    <n v="556"/>
    <n v="245"/>
    <n v="128"/>
    <n v="3.8339317403326315E-2"/>
    <n v="5.22"/>
    <n v="3.8339317403326315E-2"/>
    <m/>
    <m/>
    <m/>
  </r>
  <r>
    <s v="POST-60629"/>
    <x v="2"/>
    <d v="2024-05-19T00:00:00"/>
    <x v="2"/>
    <n v="30676"/>
    <n v="22601"/>
    <n v="580"/>
    <n v="37"/>
    <n v="284"/>
    <n v="2.9371495631764246E-2"/>
    <n v="3.99"/>
    <n v="2.9371495631764246E-2"/>
    <m/>
    <m/>
    <m/>
  </r>
  <r>
    <s v="POST-60630"/>
    <x v="1"/>
    <d v="2025-10-22T00:00:00"/>
    <x v="3"/>
    <n v="43458"/>
    <n v="22086"/>
    <n v="806"/>
    <n v="132"/>
    <n v="155"/>
    <n v="2.5150720235629802E-2"/>
    <n v="4.95"/>
    <n v="2.5150720235629802E-2"/>
    <m/>
    <m/>
    <m/>
  </r>
  <r>
    <s v="POST-60631"/>
    <x v="1"/>
    <d v="2024-11-22T00:00:00"/>
    <x v="1"/>
    <n v="24339"/>
    <n v="11601"/>
    <n v="686"/>
    <n v="112"/>
    <n v="107"/>
    <n v="3.718312173877316E-2"/>
    <n v="7.8"/>
    <n v="3.718312173877316E-2"/>
    <m/>
    <m/>
    <m/>
  </r>
  <r>
    <s v="POST-60632"/>
    <x v="2"/>
    <d v="2024-01-15T00:00:00"/>
    <x v="1"/>
    <n v="23608"/>
    <n v="14578"/>
    <n v="419"/>
    <n v="103"/>
    <n v="210"/>
    <n v="3.1006438495425278E-2"/>
    <n v="5.0199999999999996"/>
    <n v="3.1006438495425278E-2"/>
    <m/>
    <m/>
    <m/>
  </r>
  <r>
    <s v="POST-60633"/>
    <x v="0"/>
    <d v="2025-04-29T00:00:00"/>
    <x v="0"/>
    <n v="3498"/>
    <n v="2312"/>
    <n v="77"/>
    <n v="18"/>
    <n v="53"/>
    <n v="4.2309891366495142E-2"/>
    <n v="6.4"/>
    <n v="4.2309891366495142E-2"/>
    <m/>
    <m/>
    <m/>
  </r>
  <r>
    <s v="POST-60634"/>
    <x v="2"/>
    <d v="2024-10-20T00:00:00"/>
    <x v="0"/>
    <n v="11898"/>
    <n v="10271"/>
    <n v="276"/>
    <n v="51"/>
    <n v="155"/>
    <n v="4.051101025382417E-2"/>
    <n v="4.6900000000000004"/>
    <n v="4.051101025382417E-2"/>
    <m/>
    <m/>
    <m/>
  </r>
  <r>
    <s v="POST-60635"/>
    <x v="4"/>
    <d v="2025-05-30T00:00:00"/>
    <x v="0"/>
    <n v="2644"/>
    <n v="1864"/>
    <n v="34"/>
    <n v="17"/>
    <n v="20"/>
    <n v="2.6853252647503781E-2"/>
    <n v="3.81"/>
    <n v="2.6853252647503781E-2"/>
    <m/>
    <m/>
    <m/>
  </r>
  <r>
    <s v="POST-60636"/>
    <x v="4"/>
    <d v="2025-05-03T00:00:00"/>
    <x v="4"/>
    <n v="16074"/>
    <n v="7842"/>
    <n v="276"/>
    <n v="105"/>
    <n v="84"/>
    <n v="2.8928704740574841E-2"/>
    <n v="5.93"/>
    <n v="2.8928704740574841E-2"/>
    <m/>
    <m/>
    <m/>
  </r>
  <r>
    <s v="POST-60637"/>
    <x v="1"/>
    <d v="2025-06-28T00:00:00"/>
    <x v="1"/>
    <n v="5607"/>
    <n v="3909"/>
    <n v="251"/>
    <n v="37"/>
    <n v="11"/>
    <n v="5.3326199393615124E-2"/>
    <n v="7.65"/>
    <n v="5.3326199393615124E-2"/>
    <m/>
    <m/>
    <m/>
  </r>
  <r>
    <s v="POST-60638"/>
    <x v="3"/>
    <d v="2025-07-28T00:00:00"/>
    <x v="2"/>
    <n v="355683"/>
    <n v="209786"/>
    <n v="22369"/>
    <n v="5374"/>
    <n v="5279"/>
    <n v="9.2841097269197578E-2"/>
    <n v="15.74"/>
    <n v="9.2841097269197578E-2"/>
    <m/>
    <m/>
    <m/>
  </r>
  <r>
    <s v="POST-60639"/>
    <x v="4"/>
    <d v="2024-11-22T00:00:00"/>
    <x v="4"/>
    <n v="24289"/>
    <n v="13668"/>
    <n v="552"/>
    <n v="140"/>
    <n v="120"/>
    <n v="3.3430771130964633E-2"/>
    <n v="5.94"/>
    <n v="3.3430771130964633E-2"/>
    <m/>
    <m/>
    <m/>
  </r>
  <r>
    <s v="POST-60640"/>
    <x v="2"/>
    <d v="2025-01-15T00:00:00"/>
    <x v="2"/>
    <n v="47511"/>
    <n v="30956"/>
    <n v="836"/>
    <n v="31"/>
    <n v="371"/>
    <n v="2.6057123613478984E-2"/>
    <n v="4"/>
    <n v="2.6057123613478984E-2"/>
    <m/>
    <m/>
    <m/>
  </r>
  <r>
    <s v="POST-60641"/>
    <x v="2"/>
    <d v="2025-12-11T00:00:00"/>
    <x v="1"/>
    <n v="12122"/>
    <n v="6898"/>
    <n v="100"/>
    <n v="19"/>
    <n v="108"/>
    <n v="1.8726282791618545E-2"/>
    <n v="3.29"/>
    <n v="1.8726282791618545E-2"/>
    <m/>
    <m/>
    <m/>
  </r>
  <r>
    <s v="POST-60642"/>
    <x v="3"/>
    <d v="2025-06-10T00:00:00"/>
    <x v="3"/>
    <n v="24844"/>
    <n v="13213"/>
    <n v="1483"/>
    <n v="150"/>
    <n v="471"/>
    <n v="8.4688455965222995E-2"/>
    <n v="15.92"/>
    <n v="8.4688455965222995E-2"/>
    <m/>
    <m/>
    <m/>
  </r>
  <r>
    <s v="POST-60643"/>
    <x v="1"/>
    <d v="2024-10-23T00:00:00"/>
    <x v="3"/>
    <n v="72162"/>
    <n v="32445"/>
    <n v="1120"/>
    <n v="100"/>
    <n v="71"/>
    <n v="1.7890302375211331E-2"/>
    <n v="3.98"/>
    <n v="1.7890302375211331E-2"/>
    <m/>
    <m/>
    <m/>
  </r>
  <r>
    <s v="POST-60644"/>
    <x v="2"/>
    <d v="2025-10-27T00:00:00"/>
    <x v="0"/>
    <n v="9855"/>
    <n v="8639"/>
    <n v="165"/>
    <n v="13"/>
    <n v="75"/>
    <n v="2.5672247590055809E-2"/>
    <n v="2.93"/>
    <n v="2.5672247590055809E-2"/>
    <m/>
    <m/>
    <m/>
  </r>
  <r>
    <s v="POST-60645"/>
    <x v="0"/>
    <d v="2025-09-23T00:00:00"/>
    <x v="0"/>
    <n v="1464"/>
    <n v="623"/>
    <n v="18"/>
    <n v="4"/>
    <n v="10"/>
    <n v="2.185792349726776E-2"/>
    <n v="5.14"/>
    <n v="2.185792349726776E-2"/>
    <m/>
    <m/>
    <m/>
  </r>
  <r>
    <s v="POST-60646"/>
    <x v="1"/>
    <d v="2024-08-02T00:00:00"/>
    <x v="1"/>
    <n v="43874"/>
    <n v="28603"/>
    <n v="2132"/>
    <n v="362"/>
    <n v="160"/>
    <n v="6.0491407211560377E-2"/>
    <n v="9.2799999999999994"/>
    <n v="6.0491407211560377E-2"/>
    <m/>
    <m/>
    <m/>
  </r>
  <r>
    <s v="POST-60647"/>
    <x v="3"/>
    <d v="2025-09-10T00:00:00"/>
    <x v="2"/>
    <n v="351288"/>
    <n v="199282"/>
    <n v="8103"/>
    <n v="5764"/>
    <n v="4943"/>
    <n v="5.3545808567329371E-2"/>
    <n v="9.44"/>
    <n v="5.3545808567329371E-2"/>
    <m/>
    <m/>
    <m/>
  </r>
  <r>
    <s v="POST-60648"/>
    <x v="4"/>
    <d v="2024-06-14T00:00:00"/>
    <x v="0"/>
    <n v="1882"/>
    <n v="1085"/>
    <n v="51"/>
    <n v="21"/>
    <n v="5"/>
    <n v="4.0913921360255047E-2"/>
    <n v="7.1"/>
    <n v="4.0913921360255047E-2"/>
    <m/>
    <m/>
    <m/>
  </r>
  <r>
    <s v="POST-60649"/>
    <x v="1"/>
    <d v="2024-09-17T00:00:00"/>
    <x v="3"/>
    <n v="57041"/>
    <n v="29781"/>
    <n v="1820"/>
    <n v="343"/>
    <n v="146"/>
    <n v="4.0479654985010785E-2"/>
    <n v="7.75"/>
    <n v="4.0479654985010785E-2"/>
    <m/>
    <m/>
    <m/>
  </r>
  <r>
    <s v="POST-60650"/>
    <x v="2"/>
    <d v="2024-07-30T00:00:00"/>
    <x v="1"/>
    <n v="8908"/>
    <n v="6596"/>
    <n v="96"/>
    <n v="44"/>
    <n v="92"/>
    <n v="2.6044005388414906E-2"/>
    <n v="3.52"/>
    <n v="2.6044005388414906E-2"/>
    <m/>
    <m/>
    <m/>
  </r>
  <r>
    <s v="POST-60651"/>
    <x v="1"/>
    <d v="2024-10-19T00:00:00"/>
    <x v="1"/>
    <n v="47214"/>
    <n v="28846"/>
    <n v="835"/>
    <n v="359"/>
    <n v="194"/>
    <n v="2.9398059897488032E-2"/>
    <n v="4.8099999999999996"/>
    <n v="2.9398059897488032E-2"/>
    <m/>
    <m/>
    <m/>
  </r>
  <r>
    <s v="POST-60652"/>
    <x v="4"/>
    <d v="2025-11-09T00:00:00"/>
    <x v="4"/>
    <n v="7636"/>
    <n v="4927"/>
    <n v="86"/>
    <n v="42"/>
    <n v="24"/>
    <n v="1.9905709795704558E-2"/>
    <n v="3.09"/>
    <n v="1.9905709795704558E-2"/>
    <m/>
    <m/>
    <m/>
  </r>
  <r>
    <s v="POST-60653"/>
    <x v="2"/>
    <d v="2025-07-30T00:00:00"/>
    <x v="2"/>
    <n v="11649"/>
    <n v="10003"/>
    <n v="121"/>
    <n v="78"/>
    <n v="73"/>
    <n v="2.3349643746244313E-2"/>
    <n v="2.72"/>
    <n v="2.3349643746244313E-2"/>
    <m/>
    <m/>
    <m/>
  </r>
  <r>
    <s v="POST-60654"/>
    <x v="1"/>
    <d v="2024-03-17T00:00:00"/>
    <x v="4"/>
    <n v="15732"/>
    <n v="10566"/>
    <n v="390"/>
    <n v="51"/>
    <n v="88"/>
    <n v="3.3625730994152045E-2"/>
    <n v="5.01"/>
    <n v="3.3625730994152045E-2"/>
    <m/>
    <m/>
    <m/>
  </r>
  <r>
    <s v="POST-60655"/>
    <x v="0"/>
    <d v="2024-06-14T00:00:00"/>
    <x v="4"/>
    <n v="30427"/>
    <n v="10288"/>
    <n v="271"/>
    <n v="114"/>
    <n v="133"/>
    <n v="1.7024353370361851E-2"/>
    <n v="5.03"/>
    <n v="1.7024353370361851E-2"/>
    <m/>
    <m/>
    <m/>
  </r>
  <r>
    <s v="POST-60656"/>
    <x v="3"/>
    <d v="2024-05-02T00:00:00"/>
    <x v="2"/>
    <n v="165315"/>
    <n v="60150"/>
    <n v="4425"/>
    <n v="1246"/>
    <n v="2176"/>
    <n v="4.7466957021443913E-2"/>
    <n v="13.05"/>
    <n v="4.7466957021443913E-2"/>
    <m/>
    <m/>
    <m/>
  </r>
  <r>
    <s v="POST-60657"/>
    <x v="3"/>
    <d v="2024-10-14T00:00:00"/>
    <x v="3"/>
    <n v="400431"/>
    <n v="132665"/>
    <n v="7190"/>
    <n v="1913"/>
    <n v="5655"/>
    <n v="3.6855288426720208E-2"/>
    <n v="11.12"/>
    <n v="3.6855288426720208E-2"/>
    <m/>
    <m/>
    <m/>
  </r>
  <r>
    <s v="POST-60658"/>
    <x v="4"/>
    <d v="2024-01-03T00:00:00"/>
    <x v="1"/>
    <n v="9511"/>
    <n v="4794"/>
    <n v="80"/>
    <n v="38"/>
    <n v="27"/>
    <n v="1.5245505204500052E-2"/>
    <n v="3.02"/>
    <n v="1.5245505204500052E-2"/>
    <m/>
    <m/>
    <m/>
  </r>
  <r>
    <s v="POST-60659"/>
    <x v="1"/>
    <d v="2025-08-26T00:00:00"/>
    <x v="2"/>
    <n v="24086"/>
    <n v="9779"/>
    <n v="507"/>
    <n v="61"/>
    <n v="67"/>
    <n v="2.6363862824877522E-2"/>
    <n v="6.49"/>
    <n v="2.6363862824877522E-2"/>
    <m/>
    <m/>
    <m/>
  </r>
  <r>
    <s v="POST-60660"/>
    <x v="3"/>
    <d v="2024-11-04T00:00:00"/>
    <x v="3"/>
    <n v="149002"/>
    <n v="64807"/>
    <n v="2028"/>
    <n v="1357"/>
    <n v="1588"/>
    <n v="3.3375390934349873E-2"/>
    <n v="7.67"/>
    <n v="3.3375390934349873E-2"/>
    <m/>
    <m/>
    <m/>
  </r>
  <r>
    <s v="POST-60661"/>
    <x v="1"/>
    <d v="2024-06-25T00:00:00"/>
    <x v="4"/>
    <n v="28394"/>
    <n v="19354"/>
    <n v="1424"/>
    <n v="188"/>
    <n v="137"/>
    <n v="6.1597520602944281E-2"/>
    <n v="9.0399999999999991"/>
    <n v="6.1597520602944281E-2"/>
    <m/>
    <m/>
    <m/>
  </r>
  <r>
    <s v="POST-60662"/>
    <x v="4"/>
    <d v="2024-03-16T00:00:00"/>
    <x v="2"/>
    <n v="34442"/>
    <n v="18309"/>
    <n v="819"/>
    <n v="280"/>
    <n v="122"/>
    <n v="3.5450902967307359E-2"/>
    <n v="6.67"/>
    <n v="3.5450902967307359E-2"/>
    <m/>
    <m/>
    <m/>
  </r>
  <r>
    <s v="POST-60663"/>
    <x v="1"/>
    <d v="2025-12-18T00:00:00"/>
    <x v="1"/>
    <n v="36061"/>
    <n v="16765"/>
    <n v="1264"/>
    <n v="41"/>
    <n v="69"/>
    <n v="3.8102104766922718E-2"/>
    <n v="8.1999999999999993"/>
    <n v="3.8102104766922718E-2"/>
    <m/>
    <m/>
    <m/>
  </r>
  <r>
    <s v="POST-60664"/>
    <x v="3"/>
    <d v="2025-09-21T00:00:00"/>
    <x v="2"/>
    <n v="376171"/>
    <n v="118382"/>
    <n v="11737"/>
    <n v="1769"/>
    <n v="1756"/>
    <n v="4.0571973916117936E-2"/>
    <n v="12.89"/>
    <n v="4.0571973916117936E-2"/>
    <m/>
    <m/>
    <m/>
  </r>
  <r>
    <s v="POST-60665"/>
    <x v="1"/>
    <d v="2025-11-27T00:00:00"/>
    <x v="3"/>
    <n v="29184"/>
    <n v="14749"/>
    <n v="680"/>
    <n v="106"/>
    <n v="54"/>
    <n v="2.8782894736842105E-2"/>
    <n v="5.7"/>
    <n v="2.8782894736842105E-2"/>
    <m/>
    <m/>
    <m/>
  </r>
  <r>
    <s v="POST-60666"/>
    <x v="2"/>
    <d v="2025-03-13T00:00:00"/>
    <x v="2"/>
    <n v="69393"/>
    <n v="59476"/>
    <n v="584"/>
    <n v="275"/>
    <n v="1046"/>
    <n v="2.7452336691020707E-2"/>
    <n v="3.2"/>
    <n v="2.7452336691020707E-2"/>
    <m/>
    <m/>
    <m/>
  </r>
  <r>
    <s v="POST-60667"/>
    <x v="4"/>
    <d v="2024-06-18T00:00:00"/>
    <x v="2"/>
    <n v="13645"/>
    <n v="6811"/>
    <n v="361"/>
    <n v="67"/>
    <n v="96"/>
    <n v="3.840234518138512E-2"/>
    <n v="7.69"/>
    <n v="3.840234518138512E-2"/>
    <m/>
    <m/>
    <m/>
  </r>
  <r>
    <s v="POST-60668"/>
    <x v="1"/>
    <d v="2024-08-15T00:00:00"/>
    <x v="2"/>
    <n v="81658"/>
    <n v="62205"/>
    <n v="4673"/>
    <n v="461"/>
    <n v="445"/>
    <n v="6.8321536163021376E-2"/>
    <n v="8.9700000000000006"/>
    <n v="6.8321536163021376E-2"/>
    <m/>
    <m/>
    <m/>
  </r>
  <r>
    <s v="POST-60669"/>
    <x v="2"/>
    <d v="2024-01-09T00:00:00"/>
    <x v="0"/>
    <n v="15327"/>
    <n v="12694"/>
    <n v="314"/>
    <n v="26"/>
    <n v="245"/>
    <n v="3.8167938931297711E-2"/>
    <n v="4.6100000000000003"/>
    <n v="3.8167938931297711E-2"/>
    <m/>
    <m/>
    <m/>
  </r>
  <r>
    <s v="POST-60670"/>
    <x v="3"/>
    <d v="2024-07-17T00:00:00"/>
    <x v="2"/>
    <n v="186198"/>
    <n v="108919"/>
    <n v="4735"/>
    <n v="2170"/>
    <n v="3180"/>
    <n v="5.41627729621156E-2"/>
    <n v="9.26"/>
    <n v="5.41627729621156E-2"/>
    <m/>
    <m/>
    <m/>
  </r>
  <r>
    <s v="POST-60671"/>
    <x v="3"/>
    <d v="2024-11-12T00:00:00"/>
    <x v="3"/>
    <n v="321812"/>
    <n v="105478"/>
    <n v="8808"/>
    <n v="1141"/>
    <n v="4652"/>
    <n v="4.5371210520428078E-2"/>
    <n v="13.84"/>
    <n v="4.5371210520428078E-2"/>
    <m/>
    <m/>
    <m/>
  </r>
  <r>
    <s v="POST-60672"/>
    <x v="2"/>
    <d v="2024-10-18T00:00:00"/>
    <x v="0"/>
    <n v="14268"/>
    <n v="11633"/>
    <n v="131"/>
    <n v="88"/>
    <n v="139"/>
    <n v="2.509111298009532E-2"/>
    <n v="3.08"/>
    <n v="2.509111298009532E-2"/>
    <m/>
    <m/>
    <m/>
  </r>
  <r>
    <s v="POST-60673"/>
    <x v="1"/>
    <d v="2025-02-16T00:00:00"/>
    <x v="4"/>
    <n v="47971"/>
    <n v="29910"/>
    <n v="1900"/>
    <n v="203"/>
    <n v="206"/>
    <n v="4.8133247170165309E-2"/>
    <n v="7.72"/>
    <n v="4.8133247170165309E-2"/>
    <m/>
    <m/>
    <m/>
  </r>
  <r>
    <s v="POST-60674"/>
    <x v="1"/>
    <d v="2024-09-18T00:00:00"/>
    <x v="4"/>
    <n v="12818"/>
    <n v="7169"/>
    <n v="546"/>
    <n v="107"/>
    <n v="19"/>
    <n v="5.2426275550007805E-2"/>
    <n v="9.3699999999999992"/>
    <n v="5.2426275550007805E-2"/>
    <m/>
    <m/>
    <m/>
  </r>
  <r>
    <s v="POST-60675"/>
    <x v="4"/>
    <d v="2024-03-07T00:00:00"/>
    <x v="0"/>
    <n v="15500"/>
    <n v="7254"/>
    <n v="329"/>
    <n v="93"/>
    <n v="38"/>
    <n v="2.9677419354838711E-2"/>
    <n v="6.34"/>
    <n v="2.9677419354838711E-2"/>
    <m/>
    <m/>
    <m/>
  </r>
  <r>
    <s v="POST-60676"/>
    <x v="1"/>
    <d v="2025-06-07T00:00:00"/>
    <x v="4"/>
    <n v="52663"/>
    <n v="27199"/>
    <n v="548"/>
    <n v="231"/>
    <n v="211"/>
    <n v="1.879877713005336E-2"/>
    <n v="3.64"/>
    <n v="1.879877713005336E-2"/>
    <m/>
    <m/>
    <m/>
  </r>
  <r>
    <s v="POST-60677"/>
    <x v="3"/>
    <d v="2025-03-05T00:00:00"/>
    <x v="2"/>
    <n v="173804"/>
    <n v="101955"/>
    <n v="5613"/>
    <n v="882"/>
    <n v="4341"/>
    <n v="6.2346090999056407E-2"/>
    <n v="10.63"/>
    <n v="6.2346090999056407E-2"/>
    <m/>
    <m/>
    <m/>
  </r>
  <r>
    <s v="POST-60678"/>
    <x v="2"/>
    <d v="2025-09-26T00:00:00"/>
    <x v="1"/>
    <n v="3759"/>
    <n v="2971"/>
    <n v="69"/>
    <n v="12"/>
    <n v="33"/>
    <n v="3.0327214684756583E-2"/>
    <n v="3.84"/>
    <n v="3.0327214684756583E-2"/>
    <m/>
    <m/>
    <m/>
  </r>
  <r>
    <s v="POST-60679"/>
    <x v="2"/>
    <d v="2024-09-27T00:00:00"/>
    <x v="2"/>
    <n v="65387"/>
    <n v="56790"/>
    <n v="780"/>
    <n v="336"/>
    <n v="826"/>
    <n v="2.9700093290715279E-2"/>
    <n v="3.42"/>
    <n v="2.9700093290715279E-2"/>
    <m/>
    <m/>
    <m/>
  </r>
  <r>
    <s v="POST-60680"/>
    <x v="4"/>
    <d v="2025-11-06T00:00:00"/>
    <x v="1"/>
    <n v="17581"/>
    <n v="7295"/>
    <n v="319"/>
    <n v="105"/>
    <n v="47"/>
    <n v="2.6790284966725444E-2"/>
    <n v="6.46"/>
    <n v="2.6790284966725444E-2"/>
    <m/>
    <m/>
    <m/>
  </r>
  <r>
    <s v="POST-60681"/>
    <x v="1"/>
    <d v="2024-04-07T00:00:00"/>
    <x v="3"/>
    <n v="39451"/>
    <n v="23090"/>
    <n v="792"/>
    <n v="295"/>
    <n v="221"/>
    <n v="3.3155053103850349E-2"/>
    <n v="5.66"/>
    <n v="3.3155053103850349E-2"/>
    <m/>
    <m/>
    <m/>
  </r>
  <r>
    <s v="POST-60682"/>
    <x v="1"/>
    <d v="2024-08-25T00:00:00"/>
    <x v="1"/>
    <n v="49080"/>
    <n v="30039"/>
    <n v="2323"/>
    <n v="218"/>
    <n v="205"/>
    <n v="5.5949470252648736E-2"/>
    <n v="9.14"/>
    <n v="5.5949470252648736E-2"/>
    <m/>
    <m/>
    <m/>
  </r>
  <r>
    <s v="POST-60683"/>
    <x v="1"/>
    <d v="2024-02-11T00:00:00"/>
    <x v="1"/>
    <n v="15266"/>
    <n v="10760"/>
    <n v="456"/>
    <n v="21"/>
    <n v="54"/>
    <n v="3.4783178304729462E-2"/>
    <n v="4.93"/>
    <n v="3.4783178304729462E-2"/>
    <m/>
    <m/>
    <m/>
  </r>
  <r>
    <s v="POST-60684"/>
    <x v="2"/>
    <d v="2025-07-11T00:00:00"/>
    <x v="0"/>
    <n v="4895"/>
    <n v="2931"/>
    <n v="40"/>
    <n v="14"/>
    <n v="55"/>
    <n v="2.2267620020429008E-2"/>
    <n v="3.72"/>
    <n v="2.2267620020429008E-2"/>
    <m/>
    <m/>
    <m/>
  </r>
  <r>
    <s v="POST-60685"/>
    <x v="1"/>
    <d v="2024-04-30T00:00:00"/>
    <x v="2"/>
    <n v="71625"/>
    <n v="34855"/>
    <n v="2566"/>
    <n v="381"/>
    <n v="148"/>
    <n v="4.3211169284467714E-2"/>
    <n v="8.8800000000000008"/>
    <n v="4.3211169284467714E-2"/>
    <m/>
    <m/>
    <m/>
  </r>
  <r>
    <s v="POST-60686"/>
    <x v="1"/>
    <d v="2025-08-11T00:00:00"/>
    <x v="3"/>
    <n v="18738"/>
    <n v="10443"/>
    <n v="526"/>
    <n v="118"/>
    <n v="55"/>
    <n v="3.7303874479666987E-2"/>
    <n v="6.69"/>
    <n v="3.7303874479666987E-2"/>
    <m/>
    <m/>
    <m/>
  </r>
  <r>
    <s v="POST-60687"/>
    <x v="2"/>
    <d v="2025-11-22T00:00:00"/>
    <x v="0"/>
    <n v="2570"/>
    <n v="1852"/>
    <n v="22"/>
    <n v="5"/>
    <n v="7"/>
    <n v="1.3229571984435798E-2"/>
    <n v="1.84"/>
    <n v="1.3229571984435798E-2"/>
    <m/>
    <m/>
    <m/>
  </r>
  <r>
    <s v="POST-60688"/>
    <x v="3"/>
    <d v="2024-09-19T00:00:00"/>
    <x v="3"/>
    <n v="136086"/>
    <n v="60218"/>
    <n v="3956"/>
    <n v="1120"/>
    <n v="1705"/>
    <n v="4.9828784739062063E-2"/>
    <n v="11.26"/>
    <n v="4.9828784739062063E-2"/>
    <m/>
    <m/>
    <m/>
  </r>
  <r>
    <s v="POST-60689"/>
    <x v="1"/>
    <d v="2024-01-07T00:00:00"/>
    <x v="4"/>
    <n v="34283"/>
    <n v="18836"/>
    <n v="1092"/>
    <n v="66"/>
    <n v="144"/>
    <n v="3.797800659218855E-2"/>
    <n v="6.91"/>
    <n v="3.797800659218855E-2"/>
    <m/>
    <m/>
    <m/>
  </r>
  <r>
    <s v="POST-60690"/>
    <x v="1"/>
    <d v="2024-05-02T00:00:00"/>
    <x v="2"/>
    <n v="1615"/>
    <n v="702"/>
    <n v="21"/>
    <n v="4"/>
    <n v="6"/>
    <n v="1.9195046439628483E-2"/>
    <n v="4.42"/>
    <n v="1.9195046439628483E-2"/>
    <m/>
    <m/>
    <m/>
  </r>
  <r>
    <s v="POST-60691"/>
    <x v="4"/>
    <d v="2025-12-24T00:00:00"/>
    <x v="4"/>
    <n v="30298"/>
    <n v="17070"/>
    <n v="518"/>
    <n v="236"/>
    <n v="232"/>
    <n v="3.2543402204765988E-2"/>
    <n v="5.78"/>
    <n v="3.2543402204765988E-2"/>
    <m/>
    <m/>
    <m/>
  </r>
  <r>
    <s v="POST-60692"/>
    <x v="4"/>
    <d v="2024-10-16T00:00:00"/>
    <x v="4"/>
    <n v="16740"/>
    <n v="7243"/>
    <n v="220"/>
    <n v="158"/>
    <n v="104"/>
    <n v="2.8793309438470728E-2"/>
    <n v="6.65"/>
    <n v="2.8793309438470728E-2"/>
    <m/>
    <m/>
    <m/>
  </r>
  <r>
    <s v="POST-60693"/>
    <x v="1"/>
    <d v="2024-11-21T00:00:00"/>
    <x v="1"/>
    <n v="25252"/>
    <n v="13577"/>
    <n v="473"/>
    <n v="128"/>
    <n v="17"/>
    <n v="2.4473309044828133E-2"/>
    <n v="4.55"/>
    <n v="2.4473309044828133E-2"/>
    <m/>
    <m/>
    <m/>
  </r>
  <r>
    <s v="POST-60694"/>
    <x v="4"/>
    <d v="2024-03-03T00:00:00"/>
    <x v="4"/>
    <n v="30617"/>
    <n v="23813"/>
    <n v="1140"/>
    <n v="433"/>
    <n v="194"/>
    <n v="5.7713035241859098E-2"/>
    <n v="7.42"/>
    <n v="5.7713035241859098E-2"/>
    <m/>
    <m/>
    <m/>
  </r>
  <r>
    <s v="POST-60695"/>
    <x v="0"/>
    <d v="2024-10-24T00:00:00"/>
    <x v="4"/>
    <n v="5867"/>
    <n v="3418"/>
    <n v="166"/>
    <n v="57"/>
    <n v="101"/>
    <n v="5.5224134992329983E-2"/>
    <n v="9.48"/>
    <n v="5.5224134992329983E-2"/>
    <m/>
    <m/>
    <m/>
  </r>
  <r>
    <s v="POST-60696"/>
    <x v="0"/>
    <d v="2024-09-03T00:00:00"/>
    <x v="1"/>
    <n v="12837"/>
    <n v="7866"/>
    <n v="120"/>
    <n v="146"/>
    <n v="167"/>
    <n v="3.3730622419568437E-2"/>
    <n v="5.5"/>
    <n v="3.3730622419568437E-2"/>
    <m/>
    <m/>
    <m/>
  </r>
  <r>
    <s v="POST-60697"/>
    <x v="2"/>
    <d v="2024-08-19T00:00:00"/>
    <x v="2"/>
    <n v="19532"/>
    <n v="16443"/>
    <n v="132"/>
    <n v="51"/>
    <n v="177"/>
    <n v="1.8431292238378045E-2"/>
    <n v="2.19"/>
    <n v="1.8431292238378045E-2"/>
    <m/>
    <m/>
    <m/>
  </r>
  <r>
    <s v="POST-60698"/>
    <x v="4"/>
    <d v="2024-02-15T00:00:00"/>
    <x v="2"/>
    <n v="36021"/>
    <n v="24509"/>
    <n v="567"/>
    <n v="389"/>
    <n v="136"/>
    <n v="3.0315649204630632E-2"/>
    <n v="4.46"/>
    <n v="3.0315649204630632E-2"/>
    <m/>
    <m/>
    <m/>
  </r>
  <r>
    <s v="POST-60699"/>
    <x v="3"/>
    <d v="2025-06-25T00:00:00"/>
    <x v="2"/>
    <n v="516709"/>
    <n v="268928"/>
    <n v="8894"/>
    <n v="4022"/>
    <n v="2718"/>
    <n v="3.0256875726956567E-2"/>
    <n v="5.81"/>
    <n v="3.0256875726956567E-2"/>
    <m/>
    <m/>
    <m/>
  </r>
  <r>
    <s v="POST-60700"/>
    <x v="4"/>
    <d v="2025-09-21T00:00:00"/>
    <x v="1"/>
    <n v="1750"/>
    <n v="1317"/>
    <n v="41"/>
    <n v="29"/>
    <n v="14"/>
    <n v="4.8000000000000001E-2"/>
    <n v="6.38"/>
    <n v="4.8000000000000001E-2"/>
    <m/>
    <m/>
    <m/>
  </r>
  <r>
    <s v="POST-60701"/>
    <x v="3"/>
    <d v="2024-06-11T00:00:00"/>
    <x v="2"/>
    <n v="106828"/>
    <n v="43898"/>
    <n v="3859"/>
    <n v="1088"/>
    <n v="2101"/>
    <n v="6.5975212491107202E-2"/>
    <n v="16.059999999999999"/>
    <n v="6.5975212491107202E-2"/>
    <m/>
    <m/>
    <m/>
  </r>
  <r>
    <s v="POST-60702"/>
    <x v="3"/>
    <d v="2025-03-02T00:00:00"/>
    <x v="3"/>
    <n v="49124"/>
    <n v="26835"/>
    <n v="3131"/>
    <n v="481"/>
    <n v="1317"/>
    <n v="0.10033792036479114"/>
    <n v="18.37"/>
    <n v="0.10033792036479114"/>
    <m/>
    <m/>
    <m/>
  </r>
  <r>
    <s v="POST-60703"/>
    <x v="4"/>
    <d v="2025-12-01T00:00:00"/>
    <x v="2"/>
    <n v="6463"/>
    <n v="4557"/>
    <n v="146"/>
    <n v="24"/>
    <n v="15"/>
    <n v="2.8624477796688846E-2"/>
    <n v="4.0599999999999996"/>
    <n v="2.8624477796688846E-2"/>
    <m/>
    <m/>
    <m/>
  </r>
  <r>
    <s v="POST-60704"/>
    <x v="2"/>
    <d v="2025-09-29T00:00:00"/>
    <x v="0"/>
    <n v="11643"/>
    <n v="9539"/>
    <n v="141"/>
    <n v="22"/>
    <n v="91"/>
    <n v="2.1815683243150391E-2"/>
    <n v="2.66"/>
    <n v="2.1815683243150391E-2"/>
    <m/>
    <m/>
    <m/>
  </r>
  <r>
    <s v="POST-60705"/>
    <x v="4"/>
    <d v="2024-04-23T00:00:00"/>
    <x v="0"/>
    <n v="9622"/>
    <n v="4784"/>
    <n v="206"/>
    <n v="57"/>
    <n v="16"/>
    <n v="2.899605071710663E-2"/>
    <n v="5.83"/>
    <n v="2.899605071710663E-2"/>
    <m/>
    <m/>
    <m/>
  </r>
  <r>
    <s v="POST-60706"/>
    <x v="2"/>
    <d v="2024-04-16T00:00:00"/>
    <x v="1"/>
    <n v="768"/>
    <n v="675"/>
    <n v="16"/>
    <n v="3"/>
    <n v="12"/>
    <n v="4.0364583333333336E-2"/>
    <n v="4.59"/>
    <n v="4.0364583333333336E-2"/>
    <m/>
    <m/>
    <m/>
  </r>
  <r>
    <s v="POST-60707"/>
    <x v="0"/>
    <d v="2025-04-05T00:00:00"/>
    <x v="4"/>
    <n v="5498"/>
    <n v="3829"/>
    <n v="145"/>
    <n v="22"/>
    <n v="48"/>
    <n v="3.9105129137868316E-2"/>
    <n v="5.62"/>
    <n v="3.9105129137868316E-2"/>
    <m/>
    <m/>
    <m/>
  </r>
  <r>
    <s v="POST-60708"/>
    <x v="1"/>
    <d v="2025-04-28T00:00:00"/>
    <x v="2"/>
    <n v="97696"/>
    <n v="44346"/>
    <n v="2344"/>
    <n v="517"/>
    <n v="88"/>
    <n v="3.0185473304945955E-2"/>
    <n v="6.65"/>
    <n v="3.0185473304945955E-2"/>
    <m/>
    <m/>
    <m/>
  </r>
  <r>
    <s v="POST-60709"/>
    <x v="2"/>
    <d v="2024-10-06T00:00:00"/>
    <x v="1"/>
    <n v="20572"/>
    <n v="17868"/>
    <n v="147"/>
    <n v="129"/>
    <n v="295"/>
    <n v="2.7756173439626677E-2"/>
    <n v="3.2"/>
    <n v="2.7756173439626677E-2"/>
    <m/>
    <m/>
    <m/>
  </r>
  <r>
    <s v="POST-60710"/>
    <x v="0"/>
    <d v="2024-10-06T00:00:00"/>
    <x v="0"/>
    <n v="28247"/>
    <n v="11746"/>
    <n v="274"/>
    <n v="156"/>
    <n v="145"/>
    <n v="2.0356144015293658E-2"/>
    <n v="4.9000000000000004"/>
    <n v="2.0356144015293658E-2"/>
    <m/>
    <m/>
    <m/>
  </r>
  <r>
    <s v="POST-60711"/>
    <x v="1"/>
    <d v="2025-01-15T00:00:00"/>
    <x v="4"/>
    <n v="74167"/>
    <n v="45400"/>
    <n v="3147"/>
    <n v="194"/>
    <n v="135"/>
    <n v="4.6867205091213074E-2"/>
    <n v="7.66"/>
    <n v="4.6867205091213074E-2"/>
    <m/>
    <m/>
    <m/>
  </r>
  <r>
    <s v="POST-60712"/>
    <x v="2"/>
    <d v="2025-02-09T00:00:00"/>
    <x v="2"/>
    <n v="36474"/>
    <n v="26752"/>
    <n v="699"/>
    <n v="125"/>
    <n v="100"/>
    <n v="2.5333113999012995E-2"/>
    <n v="3.45"/>
    <n v="2.5333113999012995E-2"/>
    <m/>
    <m/>
    <m/>
  </r>
  <r>
    <s v="POST-60713"/>
    <x v="1"/>
    <d v="2024-08-12T00:00:00"/>
    <x v="4"/>
    <n v="52019"/>
    <n v="21663"/>
    <n v="906"/>
    <n v="211"/>
    <n v="213"/>
    <n v="2.5567581076145256E-2"/>
    <n v="6.14"/>
    <n v="2.5567581076145256E-2"/>
    <m/>
    <m/>
    <m/>
  </r>
  <r>
    <s v="POST-60714"/>
    <x v="2"/>
    <d v="2025-12-10T00:00:00"/>
    <x v="1"/>
    <n v="13851"/>
    <n v="10753"/>
    <n v="90"/>
    <n v="13"/>
    <n v="43"/>
    <n v="1.0540755180131398E-2"/>
    <n v="1.36"/>
    <n v="1.0540755180131398E-2"/>
    <m/>
    <m/>
    <m/>
  </r>
  <r>
    <s v="POST-60715"/>
    <x v="4"/>
    <d v="2024-01-24T00:00:00"/>
    <x v="2"/>
    <n v="4210"/>
    <n v="2327"/>
    <n v="62"/>
    <n v="55"/>
    <n v="17"/>
    <n v="3.1828978622327794E-2"/>
    <n v="5.76"/>
    <n v="3.1828978622327794E-2"/>
    <m/>
    <m/>
    <m/>
  </r>
  <r>
    <s v="POST-60716"/>
    <x v="2"/>
    <d v="2024-12-12T00:00:00"/>
    <x v="0"/>
    <n v="8714"/>
    <n v="7818"/>
    <n v="194"/>
    <n v="8"/>
    <n v="76"/>
    <n v="3.1902685333945378E-2"/>
    <n v="3.56"/>
    <n v="3.1902685333945378E-2"/>
    <m/>
    <m/>
    <m/>
  </r>
  <r>
    <s v="POST-60717"/>
    <x v="4"/>
    <d v="2024-09-19T00:00:00"/>
    <x v="2"/>
    <n v="18489"/>
    <n v="11208"/>
    <n v="519"/>
    <n v="262"/>
    <n v="156"/>
    <n v="5.067878197847369E-2"/>
    <n v="8.36"/>
    <n v="5.067878197847369E-2"/>
    <m/>
    <m/>
    <m/>
  </r>
  <r>
    <s v="POST-60718"/>
    <x v="4"/>
    <d v="2025-08-17T00:00:00"/>
    <x v="0"/>
    <n v="8150"/>
    <n v="3795"/>
    <n v="184"/>
    <n v="86"/>
    <n v="18"/>
    <n v="3.5337423312883434E-2"/>
    <n v="7.59"/>
    <n v="3.5337423312883434E-2"/>
    <m/>
    <m/>
    <m/>
  </r>
  <r>
    <s v="POST-60719"/>
    <x v="2"/>
    <d v="2025-07-01T00:00:00"/>
    <x v="2"/>
    <n v="38223"/>
    <n v="21921"/>
    <n v="154"/>
    <n v="148"/>
    <n v="388"/>
    <n v="1.805195824503571E-2"/>
    <n v="3.15"/>
    <n v="1.805195824503571E-2"/>
    <m/>
    <m/>
    <m/>
  </r>
  <r>
    <s v="POST-60720"/>
    <x v="0"/>
    <d v="2025-10-27T00:00:00"/>
    <x v="4"/>
    <n v="32977"/>
    <n v="11560"/>
    <n v="298"/>
    <n v="98"/>
    <n v="169"/>
    <n v="1.713315340995239E-2"/>
    <n v="4.8899999999999997"/>
    <n v="1.713315340995239E-2"/>
    <m/>
    <m/>
    <m/>
  </r>
  <r>
    <s v="POST-60721"/>
    <x v="2"/>
    <d v="2024-08-22T00:00:00"/>
    <x v="2"/>
    <n v="57675"/>
    <n v="35760"/>
    <n v="1050"/>
    <n v="194"/>
    <n v="445"/>
    <n v="2.9284785435630688E-2"/>
    <n v="4.72"/>
    <n v="2.9284785435630688E-2"/>
    <m/>
    <m/>
    <m/>
  </r>
  <r>
    <s v="POST-60722"/>
    <x v="1"/>
    <d v="2025-01-11T00:00:00"/>
    <x v="3"/>
    <n v="87852"/>
    <n v="38483"/>
    <n v="1783"/>
    <n v="380"/>
    <n v="69"/>
    <n v="2.5406365250648818E-2"/>
    <n v="5.8"/>
    <n v="2.5406365250648818E-2"/>
    <m/>
    <m/>
    <m/>
  </r>
  <r>
    <s v="POST-60723"/>
    <x v="4"/>
    <d v="2024-04-03T00:00:00"/>
    <x v="4"/>
    <n v="10551"/>
    <n v="5565"/>
    <n v="130"/>
    <n v="65"/>
    <n v="23"/>
    <n v="2.0661548668372665E-2"/>
    <n v="3.92"/>
    <n v="2.0661548668372665E-2"/>
    <m/>
    <m/>
    <m/>
  </r>
  <r>
    <s v="POST-60724"/>
    <x v="1"/>
    <d v="2025-10-15T00:00:00"/>
    <x v="1"/>
    <n v="29314"/>
    <n v="15386"/>
    <n v="381"/>
    <n v="69"/>
    <n v="105"/>
    <n v="1.8932933069523095E-2"/>
    <n v="3.61"/>
    <n v="1.8932933069523095E-2"/>
    <m/>
    <m/>
    <m/>
  </r>
  <r>
    <s v="POST-60725"/>
    <x v="1"/>
    <d v="2024-06-17T00:00:00"/>
    <x v="2"/>
    <n v="74816"/>
    <n v="55347"/>
    <n v="4283"/>
    <n v="218"/>
    <n v="519"/>
    <n v="6.7097946963216429E-2"/>
    <n v="9.07"/>
    <n v="6.7097946963216429E-2"/>
    <m/>
    <m/>
    <m/>
  </r>
  <r>
    <s v="POST-60726"/>
    <x v="1"/>
    <d v="2025-10-28T00:00:00"/>
    <x v="1"/>
    <n v="18345"/>
    <n v="13111"/>
    <n v="923"/>
    <n v="79"/>
    <n v="17"/>
    <n v="5.5546470427909514E-2"/>
    <n v="7.77"/>
    <n v="5.5546470427909514E-2"/>
    <m/>
    <m/>
    <m/>
  </r>
  <r>
    <s v="POST-60727"/>
    <x v="3"/>
    <d v="2024-12-02T00:00:00"/>
    <x v="3"/>
    <n v="84679"/>
    <n v="56993"/>
    <n v="3452"/>
    <n v="763"/>
    <n v="2444"/>
    <n v="7.8638151135464518E-2"/>
    <n v="11.68"/>
    <n v="7.8638151135464518E-2"/>
    <m/>
    <m/>
    <m/>
  </r>
  <r>
    <s v="POST-60728"/>
    <x v="1"/>
    <d v="2025-08-07T00:00:00"/>
    <x v="2"/>
    <n v="29143"/>
    <n v="15606"/>
    <n v="1093"/>
    <n v="150"/>
    <n v="58"/>
    <n v="4.4641938029715542E-2"/>
    <n v="8.34"/>
    <n v="4.4641938029715542E-2"/>
    <m/>
    <m/>
    <m/>
  </r>
  <r>
    <s v="POST-60729"/>
    <x v="0"/>
    <d v="2024-02-23T00:00:00"/>
    <x v="2"/>
    <n v="45375"/>
    <n v="28348"/>
    <n v="982"/>
    <n v="138"/>
    <n v="474"/>
    <n v="3.5129476584022039E-2"/>
    <n v="5.62"/>
    <n v="3.5129476584022039E-2"/>
    <m/>
    <m/>
    <m/>
  </r>
  <r>
    <s v="POST-60730"/>
    <x v="2"/>
    <d v="2024-01-02T00:00:00"/>
    <x v="1"/>
    <n v="13665"/>
    <n v="9857"/>
    <n v="103"/>
    <n v="61"/>
    <n v="141"/>
    <n v="2.2319795096963045E-2"/>
    <n v="3.09"/>
    <n v="2.2319795096963045E-2"/>
    <m/>
    <m/>
    <m/>
  </r>
  <r>
    <s v="POST-60731"/>
    <x v="3"/>
    <d v="2024-02-10T00:00:00"/>
    <x v="2"/>
    <n v="354002"/>
    <n v="187195"/>
    <n v="14646"/>
    <n v="2605"/>
    <n v="2589"/>
    <n v="5.6044881102366655E-2"/>
    <n v="10.6"/>
    <n v="5.6044881102366655E-2"/>
    <m/>
    <m/>
    <m/>
  </r>
  <r>
    <s v="POST-60732"/>
    <x v="3"/>
    <d v="2024-08-14T00:00:00"/>
    <x v="3"/>
    <n v="500863"/>
    <n v="228827"/>
    <n v="7070"/>
    <n v="3230"/>
    <n v="10832"/>
    <n v="4.2191178026725874E-2"/>
    <n v="9.23"/>
    <n v="4.2191178026725874E-2"/>
    <m/>
    <m/>
    <m/>
  </r>
  <r>
    <s v="POST-60733"/>
    <x v="2"/>
    <d v="2025-07-16T00:00:00"/>
    <x v="1"/>
    <n v="23524"/>
    <n v="15820"/>
    <n v="267"/>
    <n v="125"/>
    <n v="203"/>
    <n v="2.5293317463016492E-2"/>
    <n v="3.76"/>
    <n v="2.5293317463016492E-2"/>
    <m/>
    <m/>
    <m/>
  </r>
  <r>
    <s v="POST-60734"/>
    <x v="3"/>
    <d v="2024-06-22T00:00:00"/>
    <x v="3"/>
    <n v="379546"/>
    <n v="244938"/>
    <n v="17987"/>
    <n v="4666"/>
    <n v="9574"/>
    <n v="8.4909339052446867E-2"/>
    <n v="13.16"/>
    <n v="8.4909339052446867E-2"/>
    <m/>
    <m/>
    <m/>
  </r>
  <r>
    <s v="POST-60735"/>
    <x v="3"/>
    <d v="2024-08-28T00:00:00"/>
    <x v="2"/>
    <n v="175978"/>
    <n v="102798"/>
    <n v="7603"/>
    <n v="735"/>
    <n v="2192"/>
    <n v="5.9837025082680788E-2"/>
    <n v="10.24"/>
    <n v="5.9837025082680788E-2"/>
    <m/>
    <m/>
    <m/>
  </r>
  <r>
    <s v="POST-60736"/>
    <x v="4"/>
    <d v="2024-02-21T00:00:00"/>
    <x v="4"/>
    <n v="17851"/>
    <n v="10653"/>
    <n v="613"/>
    <n v="83"/>
    <n v="51"/>
    <n v="4.1846395159935018E-2"/>
    <n v="7.01"/>
    <n v="4.1846395159935018E-2"/>
    <m/>
    <m/>
    <m/>
  </r>
  <r>
    <s v="POST-60737"/>
    <x v="0"/>
    <d v="2024-11-26T00:00:00"/>
    <x v="0"/>
    <n v="3182"/>
    <n v="1939"/>
    <n v="95"/>
    <n v="13"/>
    <n v="55"/>
    <n v="5.1225644248900061E-2"/>
    <n v="8.41"/>
    <n v="5.1225644248900061E-2"/>
    <m/>
    <m/>
    <m/>
  </r>
  <r>
    <s v="POST-60738"/>
    <x v="1"/>
    <d v="2024-07-04T00:00:00"/>
    <x v="4"/>
    <n v="44248"/>
    <n v="21842"/>
    <n v="1232"/>
    <n v="170"/>
    <n v="37"/>
    <n v="3.2521243898029288E-2"/>
    <n v="6.59"/>
    <n v="3.2521243898029288E-2"/>
    <m/>
    <m/>
    <m/>
  </r>
  <r>
    <s v="POST-60739"/>
    <x v="0"/>
    <d v="2024-12-26T00:00:00"/>
    <x v="4"/>
    <n v="45960"/>
    <n v="27219"/>
    <n v="568"/>
    <n v="157"/>
    <n v="161"/>
    <n v="1.9277632724107919E-2"/>
    <n v="3.26"/>
    <n v="1.9277632724107919E-2"/>
    <m/>
    <m/>
    <m/>
  </r>
  <r>
    <s v="POST-60740"/>
    <x v="1"/>
    <d v="2024-02-22T00:00:00"/>
    <x v="2"/>
    <n v="63176"/>
    <n v="32514"/>
    <n v="1668"/>
    <n v="177"/>
    <n v="185"/>
    <n v="3.2132455362795999E-2"/>
    <n v="6.24"/>
    <n v="3.2132455362795999E-2"/>
    <m/>
    <m/>
    <m/>
  </r>
  <r>
    <s v="POST-60741"/>
    <x v="1"/>
    <d v="2025-01-14T00:00:00"/>
    <x v="3"/>
    <n v="8474"/>
    <n v="4884"/>
    <n v="252"/>
    <n v="27"/>
    <n v="16"/>
    <n v="3.4812367240972385E-2"/>
    <n v="6.04"/>
    <n v="3.4812367240972385E-2"/>
    <m/>
    <m/>
    <m/>
  </r>
  <r>
    <s v="POST-60742"/>
    <x v="2"/>
    <d v="2024-12-01T00:00:00"/>
    <x v="0"/>
    <n v="24643"/>
    <n v="12830"/>
    <n v="151"/>
    <n v="43"/>
    <n v="101"/>
    <n v="1.1970945095970457E-2"/>
    <n v="2.2999999999999998"/>
    <n v="1.1970945095970457E-2"/>
    <m/>
    <m/>
    <m/>
  </r>
  <r>
    <s v="POST-60743"/>
    <x v="2"/>
    <d v="2024-04-16T00:00:00"/>
    <x v="1"/>
    <n v="18893"/>
    <n v="11508"/>
    <n v="103"/>
    <n v="30"/>
    <n v="23"/>
    <n v="8.2570264118985871E-3"/>
    <n v="1.36"/>
    <n v="8.2570264118985871E-3"/>
    <m/>
    <m/>
    <m/>
  </r>
  <r>
    <s v="POST-60744"/>
    <x v="2"/>
    <d v="2024-02-22T00:00:00"/>
    <x v="1"/>
    <n v="16687"/>
    <n v="8832"/>
    <n v="149"/>
    <n v="10"/>
    <n v="166"/>
    <n v="1.9476238988434109E-2"/>
    <n v="3.68"/>
    <n v="1.9476238988434109E-2"/>
    <m/>
    <m/>
    <m/>
  </r>
  <r>
    <s v="POST-60745"/>
    <x v="4"/>
    <d v="2025-01-20T00:00:00"/>
    <x v="1"/>
    <n v="6126"/>
    <n v="2556"/>
    <n v="101"/>
    <n v="62"/>
    <n v="12"/>
    <n v="2.8566764609859616E-2"/>
    <n v="6.85"/>
    <n v="2.8566764609859616E-2"/>
    <m/>
    <m/>
    <m/>
  </r>
  <r>
    <s v="POST-60746"/>
    <x v="3"/>
    <d v="2024-06-10T00:00:00"/>
    <x v="3"/>
    <n v="153582"/>
    <n v="61067"/>
    <n v="2112"/>
    <n v="1732"/>
    <n v="1108"/>
    <n v="3.2243361852300402E-2"/>
    <n v="8.11"/>
    <n v="3.2243361852300402E-2"/>
    <m/>
    <m/>
    <m/>
  </r>
  <r>
    <s v="POST-60747"/>
    <x v="2"/>
    <d v="2024-05-26T00:00:00"/>
    <x v="2"/>
    <n v="33166"/>
    <n v="20671"/>
    <n v="132"/>
    <n v="105"/>
    <n v="403"/>
    <n v="1.9296870288850028E-2"/>
    <n v="3.1"/>
    <n v="1.9296870288850028E-2"/>
    <m/>
    <m/>
    <m/>
  </r>
  <r>
    <s v="POST-60748"/>
    <x v="0"/>
    <d v="2025-09-12T00:00:00"/>
    <x v="4"/>
    <n v="958"/>
    <n v="636"/>
    <n v="29"/>
    <n v="6"/>
    <n v="17"/>
    <n v="5.4279749478079335E-2"/>
    <n v="8.18"/>
    <n v="5.4279749478079335E-2"/>
    <m/>
    <m/>
    <m/>
  </r>
  <r>
    <s v="POST-60749"/>
    <x v="1"/>
    <d v="2024-12-04T00:00:00"/>
    <x v="2"/>
    <n v="113024"/>
    <n v="63107"/>
    <n v="3534"/>
    <n v="773"/>
    <n v="454"/>
    <n v="4.212379671574179E-2"/>
    <n v="7.54"/>
    <n v="4.212379671574179E-2"/>
    <m/>
    <m/>
    <m/>
  </r>
  <r>
    <s v="POST-60750"/>
    <x v="0"/>
    <d v="2024-09-26T00:00:00"/>
    <x v="0"/>
    <n v="21214"/>
    <n v="10351"/>
    <n v="479"/>
    <n v="54"/>
    <n v="195"/>
    <n v="3.4316960497784481E-2"/>
    <n v="7.03"/>
    <n v="3.4316960497784481E-2"/>
    <m/>
    <m/>
    <m/>
  </r>
  <r>
    <s v="POST-60751"/>
    <x v="0"/>
    <d v="2025-02-02T00:00:00"/>
    <x v="0"/>
    <n v="18110"/>
    <n v="6550"/>
    <n v="231"/>
    <n v="98"/>
    <n v="81"/>
    <n v="2.2639425731639979E-2"/>
    <n v="6.26"/>
    <n v="2.2639425731639979E-2"/>
    <m/>
    <m/>
    <m/>
  </r>
  <r>
    <s v="POST-60752"/>
    <x v="3"/>
    <d v="2024-03-20T00:00:00"/>
    <x v="3"/>
    <n v="427491"/>
    <n v="269084"/>
    <n v="23475"/>
    <n v="6850"/>
    <n v="5392"/>
    <n v="8.3550296965316226E-2"/>
    <n v="13.27"/>
    <n v="8.3550296965316226E-2"/>
    <m/>
    <m/>
    <m/>
  </r>
  <r>
    <s v="POST-60753"/>
    <x v="1"/>
    <d v="2024-11-18T00:00:00"/>
    <x v="3"/>
    <n v="117459"/>
    <n v="81926"/>
    <n v="2922"/>
    <n v="469"/>
    <n v="298"/>
    <n v="3.1406703615729746E-2"/>
    <n v="4.5"/>
    <n v="3.1406703615729746E-2"/>
    <m/>
    <m/>
    <m/>
  </r>
  <r>
    <s v="POST-60754"/>
    <x v="0"/>
    <d v="2025-07-30T00:00:00"/>
    <x v="4"/>
    <n v="35097"/>
    <n v="15528"/>
    <n v="717"/>
    <n v="169"/>
    <n v="430"/>
    <n v="3.7496082286235292E-2"/>
    <n v="8.48"/>
    <n v="3.7496082286235292E-2"/>
    <m/>
    <m/>
    <m/>
  </r>
  <r>
    <s v="POST-60755"/>
    <x v="4"/>
    <d v="2025-09-11T00:00:00"/>
    <x v="4"/>
    <n v="9224"/>
    <n v="6185"/>
    <n v="181"/>
    <n v="39"/>
    <n v="27"/>
    <n v="2.6777970511708587E-2"/>
    <n v="3.99"/>
    <n v="2.6777970511708587E-2"/>
    <m/>
    <m/>
    <m/>
  </r>
  <r>
    <s v="POST-60756"/>
    <x v="0"/>
    <d v="2025-12-03T00:00:00"/>
    <x v="1"/>
    <n v="14807"/>
    <n v="4641"/>
    <n v="189"/>
    <n v="83"/>
    <n v="65"/>
    <n v="2.275950563922469E-2"/>
    <n v="7.26"/>
    <n v="2.275950563922469E-2"/>
    <m/>
    <m/>
    <m/>
  </r>
  <r>
    <s v="POST-60757"/>
    <x v="1"/>
    <d v="2025-09-25T00:00:00"/>
    <x v="4"/>
    <n v="56534"/>
    <n v="26667"/>
    <n v="1823"/>
    <n v="220"/>
    <n v="84"/>
    <n v="3.7623377082817419E-2"/>
    <n v="7.98"/>
    <n v="3.7623377082817419E-2"/>
    <m/>
    <m/>
    <m/>
  </r>
  <r>
    <s v="POST-60758"/>
    <x v="1"/>
    <d v="2024-08-16T00:00:00"/>
    <x v="1"/>
    <n v="34138"/>
    <n v="22857"/>
    <n v="1562"/>
    <n v="277"/>
    <n v="160"/>
    <n v="5.8556447360712402E-2"/>
    <n v="8.75"/>
    <n v="5.8556447360712402E-2"/>
    <m/>
    <m/>
    <m/>
  </r>
  <r>
    <s v="POST-60759"/>
    <x v="0"/>
    <d v="2025-07-30T00:00:00"/>
    <x v="1"/>
    <n v="13034"/>
    <n v="6610"/>
    <n v="129"/>
    <n v="69"/>
    <n v="57"/>
    <n v="1.9564216664109253E-2"/>
    <n v="3.86"/>
    <n v="1.9564216664109253E-2"/>
    <m/>
    <m/>
    <m/>
  </r>
  <r>
    <s v="POST-60760"/>
    <x v="4"/>
    <d v="2024-06-16T00:00:00"/>
    <x v="4"/>
    <n v="16931"/>
    <n v="10669"/>
    <n v="552"/>
    <n v="208"/>
    <n v="63"/>
    <n v="4.8609060303585139E-2"/>
    <n v="7.71"/>
    <n v="4.8609060303585139E-2"/>
    <m/>
    <m/>
    <m/>
  </r>
  <r>
    <s v="POST-60761"/>
    <x v="3"/>
    <d v="2025-02-05T00:00:00"/>
    <x v="2"/>
    <n v="470236"/>
    <n v="181713"/>
    <n v="14405"/>
    <n v="1979"/>
    <n v="3187"/>
    <n v="4.161952721612127E-2"/>
    <n v="10.77"/>
    <n v="4.161952721612127E-2"/>
    <m/>
    <m/>
    <m/>
  </r>
  <r>
    <s v="POST-60762"/>
    <x v="3"/>
    <d v="2024-04-28T00:00:00"/>
    <x v="3"/>
    <n v="137714"/>
    <n v="93775"/>
    <n v="9583"/>
    <n v="1045"/>
    <n v="1334"/>
    <n v="8.6861176060531245E-2"/>
    <n v="12.76"/>
    <n v="8.6861176060531245E-2"/>
    <m/>
    <m/>
    <m/>
  </r>
  <r>
    <s v="POST-60763"/>
    <x v="0"/>
    <d v="2025-10-09T00:00:00"/>
    <x v="1"/>
    <n v="6286"/>
    <n v="4154"/>
    <n v="141"/>
    <n v="22"/>
    <n v="72"/>
    <n v="3.7384664333439392E-2"/>
    <n v="5.66"/>
    <n v="3.7384664333439392E-2"/>
    <m/>
    <m/>
    <m/>
  </r>
  <r>
    <s v="POST-60764"/>
    <x v="2"/>
    <d v="2025-02-11T00:00:00"/>
    <x v="1"/>
    <n v="17035"/>
    <n v="13302"/>
    <n v="143"/>
    <n v="64"/>
    <n v="31"/>
    <n v="1.397123569122395E-2"/>
    <n v="1.79"/>
    <n v="1.397123569122395E-2"/>
    <m/>
    <m/>
    <m/>
  </r>
  <r>
    <s v="POST-60765"/>
    <x v="3"/>
    <d v="2024-02-14T00:00:00"/>
    <x v="2"/>
    <n v="22629"/>
    <n v="13973"/>
    <n v="1169"/>
    <n v="217"/>
    <n v="656"/>
    <n v="9.023818993327147E-2"/>
    <n v="14.61"/>
    <n v="9.023818993327147E-2"/>
    <m/>
    <m/>
    <m/>
  </r>
  <r>
    <s v="POST-60766"/>
    <x v="0"/>
    <d v="2025-06-17T00:00:00"/>
    <x v="1"/>
    <n v="10886"/>
    <n v="5263"/>
    <n v="168"/>
    <n v="100"/>
    <n v="72"/>
    <n v="3.1232776042623554E-2"/>
    <n v="6.46"/>
    <n v="3.1232776042623554E-2"/>
    <m/>
    <m/>
    <m/>
  </r>
  <r>
    <s v="POST-60767"/>
    <x v="1"/>
    <d v="2025-09-18T00:00:00"/>
    <x v="3"/>
    <n v="16928"/>
    <n v="9735"/>
    <n v="518"/>
    <n v="120"/>
    <n v="90"/>
    <n v="4.3005671077504727E-2"/>
    <n v="7.48"/>
    <n v="4.3005671077504727E-2"/>
    <m/>
    <m/>
    <m/>
  </r>
  <r>
    <s v="POST-60768"/>
    <x v="0"/>
    <d v="2025-11-19T00:00:00"/>
    <x v="0"/>
    <n v="7099"/>
    <n v="3168"/>
    <n v="118"/>
    <n v="32"/>
    <n v="91"/>
    <n v="3.3948443442738417E-2"/>
    <n v="7.61"/>
    <n v="3.3948443442738417E-2"/>
    <m/>
    <m/>
    <m/>
  </r>
  <r>
    <s v="POST-60769"/>
    <x v="2"/>
    <d v="2024-06-23T00:00:00"/>
    <x v="2"/>
    <n v="36817"/>
    <n v="28588"/>
    <n v="585"/>
    <n v="184"/>
    <n v="234"/>
    <n v="2.7242849770486459E-2"/>
    <n v="3.51"/>
    <n v="2.7242849770486459E-2"/>
    <m/>
    <m/>
    <m/>
  </r>
  <r>
    <s v="POST-60770"/>
    <x v="3"/>
    <d v="2025-09-27T00:00:00"/>
    <x v="2"/>
    <n v="250782"/>
    <n v="167014"/>
    <n v="11930"/>
    <n v="3434"/>
    <n v="6584"/>
    <n v="8.7518242936095891E-2"/>
    <n v="13.14"/>
    <n v="8.7518242936095891E-2"/>
    <m/>
    <m/>
    <m/>
  </r>
  <r>
    <s v="POST-60771"/>
    <x v="2"/>
    <d v="2024-12-16T00:00:00"/>
    <x v="1"/>
    <n v="2682"/>
    <n v="1770"/>
    <n v="44"/>
    <n v="8"/>
    <n v="11"/>
    <n v="2.3489932885906041E-2"/>
    <n v="3.56"/>
    <n v="2.3489932885906041E-2"/>
    <m/>
    <m/>
    <m/>
  </r>
  <r>
    <s v="POST-60772"/>
    <x v="0"/>
    <d v="2025-10-29T00:00:00"/>
    <x v="1"/>
    <n v="20009"/>
    <n v="8468"/>
    <n v="296"/>
    <n v="123"/>
    <n v="63"/>
    <n v="2.4089159878054874E-2"/>
    <n v="5.69"/>
    <n v="2.4089159878054874E-2"/>
    <m/>
    <m/>
    <m/>
  </r>
  <r>
    <s v="POST-60773"/>
    <x v="0"/>
    <d v="2024-05-03T00:00:00"/>
    <x v="0"/>
    <n v="2335"/>
    <n v="1610"/>
    <n v="78"/>
    <n v="26"/>
    <n v="42"/>
    <n v="6.2526766595289079E-2"/>
    <n v="9.07"/>
    <n v="6.2526766595289079E-2"/>
    <m/>
    <m/>
    <m/>
  </r>
  <r>
    <s v="POST-60774"/>
    <x v="3"/>
    <d v="2024-01-25T00:00:00"/>
    <x v="2"/>
    <n v="34001"/>
    <n v="18552"/>
    <n v="671"/>
    <n v="427"/>
    <n v="524"/>
    <n v="4.7704479280021174E-2"/>
    <n v="8.74"/>
    <n v="4.7704479280021174E-2"/>
    <m/>
    <m/>
    <m/>
  </r>
  <r>
    <s v="POST-60775"/>
    <x v="2"/>
    <d v="2025-09-02T00:00:00"/>
    <x v="1"/>
    <n v="7779"/>
    <n v="5128"/>
    <n v="116"/>
    <n v="35"/>
    <n v="34"/>
    <n v="2.3781977117881475E-2"/>
    <n v="3.61"/>
    <n v="2.3781977117881475E-2"/>
    <m/>
    <m/>
    <m/>
  </r>
  <r>
    <s v="POST-60776"/>
    <x v="1"/>
    <d v="2024-12-08T00:00:00"/>
    <x v="3"/>
    <n v="63122"/>
    <n v="36317"/>
    <n v="1019"/>
    <n v="314"/>
    <n v="154"/>
    <n v="2.3557555210544659E-2"/>
    <n v="4.09"/>
    <n v="2.3557555210544659E-2"/>
    <m/>
    <m/>
    <m/>
  </r>
  <r>
    <s v="POST-60777"/>
    <x v="4"/>
    <d v="2024-08-31T00:00:00"/>
    <x v="4"/>
    <n v="25468"/>
    <n v="16797"/>
    <n v="877"/>
    <n v="196"/>
    <n v="215"/>
    <n v="5.0573268415266215E-2"/>
    <n v="7.67"/>
    <n v="5.0573268415266215E-2"/>
    <m/>
    <m/>
    <m/>
  </r>
  <r>
    <s v="POST-60778"/>
    <x v="3"/>
    <d v="2025-01-28T00:00:00"/>
    <x v="3"/>
    <n v="272197"/>
    <n v="148281"/>
    <n v="5045"/>
    <n v="3127"/>
    <n v="3810"/>
    <n v="4.4019588753733511E-2"/>
    <n v="8.08"/>
    <n v="4.4019588753733511E-2"/>
    <m/>
    <m/>
    <m/>
  </r>
  <r>
    <s v="POST-60779"/>
    <x v="4"/>
    <d v="2025-09-24T00:00:00"/>
    <x v="1"/>
    <n v="13512"/>
    <n v="9567"/>
    <n v="308"/>
    <n v="60"/>
    <n v="73"/>
    <n v="3.263765541740675E-2"/>
    <n v="4.6100000000000003"/>
    <n v="3.263765541740675E-2"/>
    <m/>
    <m/>
    <m/>
  </r>
  <r>
    <s v="POST-60780"/>
    <x v="3"/>
    <d v="2025-06-19T00:00:00"/>
    <x v="2"/>
    <n v="333804"/>
    <n v="200609"/>
    <n v="20034"/>
    <n v="4299"/>
    <n v="9831"/>
    <n v="0.10234748535068483"/>
    <n v="17.03"/>
    <n v="0.10234748535068483"/>
    <m/>
    <m/>
    <m/>
  </r>
  <r>
    <s v="POST-60781"/>
    <x v="4"/>
    <d v="2025-02-17T00:00:00"/>
    <x v="4"/>
    <n v="23579"/>
    <n v="9773"/>
    <n v="449"/>
    <n v="138"/>
    <n v="134"/>
    <n v="3.057805674540905E-2"/>
    <n v="7.38"/>
    <n v="3.057805674540905E-2"/>
    <m/>
    <m/>
    <m/>
  </r>
  <r>
    <s v="POST-60782"/>
    <x v="0"/>
    <d v="2024-06-02T00:00:00"/>
    <x v="1"/>
    <n v="13503"/>
    <n v="5399"/>
    <n v="264"/>
    <n v="61"/>
    <n v="84"/>
    <n v="3.0289565281789232E-2"/>
    <n v="7.58"/>
    <n v="3.0289565281789232E-2"/>
    <m/>
    <m/>
    <m/>
  </r>
  <r>
    <s v="POST-60783"/>
    <x v="0"/>
    <d v="2024-07-15T00:00:00"/>
    <x v="4"/>
    <n v="16980"/>
    <n v="10531"/>
    <n v="287"/>
    <n v="68"/>
    <n v="249"/>
    <n v="3.5571260306242636E-2"/>
    <n v="5.74"/>
    <n v="3.5571260306242636E-2"/>
    <m/>
    <m/>
    <m/>
  </r>
  <r>
    <s v="POST-60784"/>
    <x v="0"/>
    <d v="2024-08-09T00:00:00"/>
    <x v="4"/>
    <n v="30937"/>
    <n v="15088"/>
    <n v="213"/>
    <n v="73"/>
    <n v="306"/>
    <n v="1.9135662798590684E-2"/>
    <n v="3.92"/>
    <n v="1.9135662798590684E-2"/>
    <m/>
    <m/>
    <m/>
  </r>
  <r>
    <s v="POST-60785"/>
    <x v="0"/>
    <d v="2025-10-28T00:00:00"/>
    <x v="1"/>
    <n v="26470"/>
    <n v="14840"/>
    <n v="188"/>
    <n v="83"/>
    <n v="357"/>
    <n v="2.3724971666037022E-2"/>
    <n v="4.2300000000000004"/>
    <n v="2.3724971666037022E-2"/>
    <m/>
    <m/>
    <m/>
  </r>
  <r>
    <s v="POST-60786"/>
    <x v="3"/>
    <d v="2025-12-16T00:00:00"/>
    <x v="3"/>
    <n v="108168"/>
    <n v="45234"/>
    <n v="3836"/>
    <n v="1170"/>
    <n v="1513"/>
    <n v="6.0267361881517642E-2"/>
    <n v="14.41"/>
    <n v="6.0267361881517642E-2"/>
    <m/>
    <m/>
    <m/>
  </r>
  <r>
    <s v="POST-60787"/>
    <x v="0"/>
    <d v="2024-01-21T00:00:00"/>
    <x v="4"/>
    <n v="19486"/>
    <n v="9257"/>
    <n v="230"/>
    <n v="72"/>
    <n v="114"/>
    <n v="2.1348660576824385E-2"/>
    <n v="4.49"/>
    <n v="2.1348660576824385E-2"/>
    <m/>
    <m/>
    <m/>
  </r>
  <r>
    <s v="POST-60788"/>
    <x v="3"/>
    <d v="2024-03-17T00:00:00"/>
    <x v="2"/>
    <n v="327325"/>
    <n v="185924"/>
    <n v="16944"/>
    <n v="1712"/>
    <n v="8146"/>
    <n v="8.1881921637516231E-2"/>
    <n v="14.42"/>
    <n v="8.1881921637516231E-2"/>
    <m/>
    <m/>
    <m/>
  </r>
  <r>
    <s v="POST-60789"/>
    <x v="3"/>
    <d v="2024-12-24T00:00:00"/>
    <x v="2"/>
    <n v="209403"/>
    <n v="116276"/>
    <n v="10312"/>
    <n v="2772"/>
    <n v="3701"/>
    <n v="8.0156444750075218E-2"/>
    <n v="14.44"/>
    <n v="8.0156444750075218E-2"/>
    <m/>
    <m/>
    <m/>
  </r>
  <r>
    <s v="POST-60790"/>
    <x v="1"/>
    <d v="2025-06-04T00:00:00"/>
    <x v="4"/>
    <n v="43665"/>
    <n v="33548"/>
    <n v="1507"/>
    <n v="85"/>
    <n v="318"/>
    <n v="4.3742127562120689E-2"/>
    <n v="5.69"/>
    <n v="4.3742127562120689E-2"/>
    <m/>
    <m/>
    <m/>
  </r>
  <r>
    <s v="POST-60791"/>
    <x v="0"/>
    <d v="2024-03-02T00:00:00"/>
    <x v="4"/>
    <n v="44840"/>
    <n v="30742"/>
    <n v="948"/>
    <n v="433"/>
    <n v="515"/>
    <n v="4.2283675289919713E-2"/>
    <n v="6.17"/>
    <n v="4.2283675289919713E-2"/>
    <m/>
    <m/>
    <m/>
  </r>
  <r>
    <s v="POST-60792"/>
    <x v="2"/>
    <d v="2024-11-16T00:00:00"/>
    <x v="2"/>
    <n v="28891"/>
    <n v="24605"/>
    <n v="695"/>
    <n v="101"/>
    <n v="324"/>
    <n v="3.8766397840157833E-2"/>
    <n v="4.55"/>
    <n v="3.8766397840157833E-2"/>
    <m/>
    <m/>
    <m/>
  </r>
  <r>
    <s v="POST-60793"/>
    <x v="4"/>
    <d v="2024-02-28T00:00:00"/>
    <x v="0"/>
    <n v="19665"/>
    <n v="13473"/>
    <n v="511"/>
    <n v="317"/>
    <n v="157"/>
    <n v="5.008899059242309E-2"/>
    <n v="7.31"/>
    <n v="5.008899059242309E-2"/>
    <m/>
    <m/>
    <m/>
  </r>
  <r>
    <s v="POST-60794"/>
    <x v="3"/>
    <d v="2025-10-10T00:00:00"/>
    <x v="3"/>
    <n v="309901"/>
    <n v="126021"/>
    <n v="6844"/>
    <n v="677"/>
    <n v="4597"/>
    <n v="3.9102810252306379E-2"/>
    <n v="9.6199999999999992"/>
    <n v="3.9102810252306379E-2"/>
    <m/>
    <m/>
    <m/>
  </r>
  <r>
    <s v="POST-60795"/>
    <x v="1"/>
    <d v="2025-07-31T00:00:00"/>
    <x v="3"/>
    <n v="78507"/>
    <n v="44593"/>
    <n v="3309"/>
    <n v="647"/>
    <n v="259"/>
    <n v="5.3689479918988113E-2"/>
    <n v="9.4499999999999993"/>
    <n v="5.3689479918988113E-2"/>
    <m/>
    <m/>
    <m/>
  </r>
  <r>
    <s v="POST-60796"/>
    <x v="2"/>
    <d v="2025-01-05T00:00:00"/>
    <x v="0"/>
    <n v="12523"/>
    <n v="10237"/>
    <n v="168"/>
    <n v="77"/>
    <n v="131"/>
    <n v="3.0024754451808671E-2"/>
    <n v="3.67"/>
    <n v="3.0024754451808671E-2"/>
    <m/>
    <m/>
    <m/>
  </r>
  <r>
    <s v="POST-60797"/>
    <x v="1"/>
    <d v="2025-05-06T00:00:00"/>
    <x v="3"/>
    <n v="16546"/>
    <n v="10784"/>
    <n v="795"/>
    <n v="89"/>
    <n v="64"/>
    <n v="5.7294814456666267E-2"/>
    <n v="8.7899999999999991"/>
    <n v="5.7294814456666267E-2"/>
    <m/>
    <m/>
    <m/>
  </r>
  <r>
    <s v="POST-60798"/>
    <x v="2"/>
    <d v="2025-05-01T00:00:00"/>
    <x v="0"/>
    <n v="22672"/>
    <n v="13697"/>
    <n v="253"/>
    <n v="45"/>
    <n v="150"/>
    <n v="1.9760056457304165E-2"/>
    <n v="3.27"/>
    <n v="1.9760056457304165E-2"/>
    <m/>
    <m/>
    <m/>
  </r>
  <r>
    <s v="POST-60799"/>
    <x v="1"/>
    <d v="2024-10-15T00:00:00"/>
    <x v="4"/>
    <n v="72621"/>
    <n v="56147"/>
    <n v="4186"/>
    <n v="283"/>
    <n v="178"/>
    <n v="6.398975502953691E-2"/>
    <n v="8.2799999999999994"/>
    <n v="6.398975502953691E-2"/>
    <m/>
    <m/>
    <m/>
  </r>
  <r>
    <s v="POST-60800"/>
    <x v="2"/>
    <d v="2024-08-07T00:00:00"/>
    <x v="1"/>
    <n v="16084"/>
    <n v="13865"/>
    <n v="227"/>
    <n v="107"/>
    <n v="245"/>
    <n v="3.5998507833872172E-2"/>
    <n v="4.18"/>
    <n v="3.5998507833872172E-2"/>
    <m/>
    <m/>
    <m/>
  </r>
  <r>
    <s v="POST-60801"/>
    <x v="1"/>
    <d v="2024-03-22T00:00:00"/>
    <x v="3"/>
    <n v="8929"/>
    <n v="7013"/>
    <n v="541"/>
    <n v="94"/>
    <n v="47"/>
    <n v="7.6380333743980289E-2"/>
    <n v="9.7200000000000006"/>
    <n v="7.6380333743980289E-2"/>
    <m/>
    <m/>
    <m/>
  </r>
  <r>
    <s v="POST-60802"/>
    <x v="0"/>
    <d v="2025-05-03T00:00:00"/>
    <x v="0"/>
    <n v="15199"/>
    <n v="8810"/>
    <n v="264"/>
    <n v="29"/>
    <n v="151"/>
    <n v="2.9212448187380748E-2"/>
    <n v="5.04"/>
    <n v="2.9212448187380748E-2"/>
    <m/>
    <m/>
    <m/>
  </r>
  <r>
    <s v="POST-60803"/>
    <x v="3"/>
    <d v="2024-12-17T00:00:00"/>
    <x v="3"/>
    <n v="31608"/>
    <n v="10540"/>
    <n v="499"/>
    <n v="63"/>
    <n v="116"/>
    <n v="2.1450265755504936E-2"/>
    <n v="6.43"/>
    <n v="2.1450265755504936E-2"/>
    <m/>
    <m/>
    <m/>
  </r>
  <r>
    <s v="POST-60804"/>
    <x v="2"/>
    <d v="2024-12-31T00:00:00"/>
    <x v="1"/>
    <n v="18381"/>
    <n v="12860"/>
    <n v="251"/>
    <n v="16"/>
    <n v="137"/>
    <n v="2.1979217670420544E-2"/>
    <n v="3.14"/>
    <n v="2.1979217670420544E-2"/>
    <m/>
    <m/>
    <m/>
  </r>
  <r>
    <s v="POST-60805"/>
    <x v="1"/>
    <d v="2024-12-24T00:00:00"/>
    <x v="3"/>
    <n v="8019"/>
    <n v="4735"/>
    <n v="360"/>
    <n v="13"/>
    <n v="22"/>
    <n v="4.9258012220975186E-2"/>
    <n v="8.34"/>
    <n v="4.9258012220975186E-2"/>
    <m/>
    <m/>
    <m/>
  </r>
  <r>
    <s v="POST-60806"/>
    <x v="0"/>
    <d v="2025-04-30T00:00:00"/>
    <x v="2"/>
    <n v="85320"/>
    <n v="51527"/>
    <n v="2350"/>
    <n v="759"/>
    <n v="509"/>
    <n v="4.2405063291139238E-2"/>
    <n v="7.02"/>
    <n v="4.2405063291139238E-2"/>
    <m/>
    <m/>
    <m/>
  </r>
  <r>
    <s v="POST-60807"/>
    <x v="1"/>
    <d v="2024-07-03T00:00:00"/>
    <x v="4"/>
    <n v="38897"/>
    <n v="30186"/>
    <n v="786"/>
    <n v="91"/>
    <n v="102"/>
    <n v="2.5169036172455458E-2"/>
    <n v="3.24"/>
    <n v="2.5169036172455458E-2"/>
    <m/>
    <m/>
    <m/>
  </r>
  <r>
    <s v="POST-60808"/>
    <x v="0"/>
    <d v="2025-04-19T00:00:00"/>
    <x v="4"/>
    <n v="34622"/>
    <n v="15612"/>
    <n v="653"/>
    <n v="91"/>
    <n v="213"/>
    <n v="2.7641384091040378E-2"/>
    <n v="6.13"/>
    <n v="2.7641384091040378E-2"/>
    <m/>
    <m/>
    <m/>
  </r>
  <r>
    <s v="POST-60809"/>
    <x v="0"/>
    <d v="2025-06-30T00:00:00"/>
    <x v="0"/>
    <n v="896"/>
    <n v="466"/>
    <n v="18"/>
    <n v="3"/>
    <n v="10"/>
    <n v="3.4598214285714288E-2"/>
    <n v="6.65"/>
    <n v="3.4598214285714288E-2"/>
    <m/>
    <m/>
    <m/>
  </r>
  <r>
    <s v="POST-60810"/>
    <x v="3"/>
    <d v="2025-05-19T00:00:00"/>
    <x v="3"/>
    <n v="267198"/>
    <n v="130450"/>
    <n v="15382"/>
    <n v="954"/>
    <n v="2977"/>
    <n v="7.2279732632729285E-2"/>
    <n v="14.8"/>
    <n v="7.2279732632729285E-2"/>
    <m/>
    <m/>
    <m/>
  </r>
  <r>
    <s v="POST-60811"/>
    <x v="0"/>
    <d v="2025-05-18T00:00:00"/>
    <x v="4"/>
    <n v="5004"/>
    <n v="2876"/>
    <n v="33"/>
    <n v="9"/>
    <n v="36"/>
    <n v="1.5587529976019185E-2"/>
    <n v="2.71"/>
    <n v="1.5587529976019185E-2"/>
    <m/>
    <m/>
    <m/>
  </r>
  <r>
    <s v="POST-60812"/>
    <x v="1"/>
    <d v="2025-12-18T00:00:00"/>
    <x v="3"/>
    <n v="92027"/>
    <n v="71596"/>
    <n v="1879"/>
    <n v="757"/>
    <n v="301"/>
    <n v="3.191454681778174E-2"/>
    <n v="4.0999999999999996"/>
    <n v="3.191454681778174E-2"/>
    <m/>
    <m/>
    <m/>
  </r>
  <r>
    <s v="POST-60813"/>
    <x v="4"/>
    <d v="2025-11-24T00:00:00"/>
    <x v="2"/>
    <n v="18602"/>
    <n v="7631"/>
    <n v="410"/>
    <n v="99"/>
    <n v="44"/>
    <n v="2.972798623803892E-2"/>
    <n v="7.25"/>
    <n v="2.972798623803892E-2"/>
    <m/>
    <m/>
    <m/>
  </r>
  <r>
    <s v="POST-60814"/>
    <x v="0"/>
    <d v="2025-02-06T00:00:00"/>
    <x v="2"/>
    <n v="27727"/>
    <n v="18430"/>
    <n v="250"/>
    <n v="141"/>
    <n v="192"/>
    <n v="2.1026436325603203E-2"/>
    <n v="3.16"/>
    <n v="2.1026436325603203E-2"/>
    <m/>
    <m/>
    <m/>
  </r>
  <r>
    <s v="POST-60815"/>
    <x v="1"/>
    <d v="2025-09-13T00:00:00"/>
    <x v="2"/>
    <n v="15247"/>
    <n v="8056"/>
    <n v="540"/>
    <n v="26"/>
    <n v="48"/>
    <n v="4.0270217091886926E-2"/>
    <n v="7.62"/>
    <n v="4.0270217091886926E-2"/>
    <m/>
    <m/>
    <m/>
  </r>
  <r>
    <s v="POST-60816"/>
    <x v="3"/>
    <d v="2025-08-25T00:00:00"/>
    <x v="2"/>
    <n v="89894"/>
    <n v="59291"/>
    <n v="1939"/>
    <n v="1048"/>
    <n v="2205"/>
    <n v="5.7756913698355838E-2"/>
    <n v="8.76"/>
    <n v="5.7756913698355838E-2"/>
    <m/>
    <m/>
    <m/>
  </r>
  <r>
    <s v="POST-60817"/>
    <x v="1"/>
    <d v="2025-08-06T00:00:00"/>
    <x v="1"/>
    <n v="27153"/>
    <n v="19875"/>
    <n v="1530"/>
    <n v="162"/>
    <n v="74"/>
    <n v="6.5038853901962956E-2"/>
    <n v="8.89"/>
    <n v="6.5038853901962956E-2"/>
    <m/>
    <m/>
    <m/>
  </r>
  <r>
    <s v="POST-60818"/>
    <x v="4"/>
    <d v="2024-01-27T00:00:00"/>
    <x v="2"/>
    <n v="4784"/>
    <n v="2037"/>
    <n v="35"/>
    <n v="15"/>
    <n v="25"/>
    <n v="1.5677257525083612E-2"/>
    <n v="3.68"/>
    <n v="1.5677257525083612E-2"/>
    <m/>
    <m/>
    <m/>
  </r>
  <r>
    <s v="POST-60819"/>
    <x v="2"/>
    <d v="2025-11-08T00:00:00"/>
    <x v="2"/>
    <n v="13034"/>
    <n v="9588"/>
    <n v="212"/>
    <n v="20"/>
    <n v="99"/>
    <n v="2.5395120454196715E-2"/>
    <n v="3.45"/>
    <n v="2.5395120454196715E-2"/>
    <m/>
    <m/>
    <m/>
  </r>
  <r>
    <s v="POST-60820"/>
    <x v="2"/>
    <d v="2025-05-18T00:00:00"/>
    <x v="0"/>
    <n v="18057"/>
    <n v="13827"/>
    <n v="299"/>
    <n v="64"/>
    <n v="151"/>
    <n v="2.8465415074486349E-2"/>
    <n v="3.72"/>
    <n v="2.8465415074486349E-2"/>
    <m/>
    <m/>
    <m/>
  </r>
  <r>
    <s v="POST-60821"/>
    <x v="3"/>
    <d v="2024-09-27T00:00:00"/>
    <x v="3"/>
    <n v="179719"/>
    <n v="70601"/>
    <n v="4549"/>
    <n v="1643"/>
    <n v="975"/>
    <n v="3.9878922095048383E-2"/>
    <n v="10.15"/>
    <n v="3.9878922095048383E-2"/>
    <m/>
    <m/>
    <m/>
  </r>
  <r>
    <s v="POST-60822"/>
    <x v="2"/>
    <d v="2025-12-19T00:00:00"/>
    <x v="0"/>
    <n v="23924"/>
    <n v="11970"/>
    <n v="195"/>
    <n v="81"/>
    <n v="148"/>
    <n v="1.7722788831299113E-2"/>
    <n v="3.54"/>
    <n v="1.7722788831299113E-2"/>
    <m/>
    <m/>
    <m/>
  </r>
  <r>
    <s v="POST-60823"/>
    <x v="3"/>
    <d v="2024-07-17T00:00:00"/>
    <x v="3"/>
    <n v="300492"/>
    <n v="142306"/>
    <n v="10847"/>
    <n v="2910"/>
    <n v="4021"/>
    <n v="5.9162972724731443E-2"/>
    <n v="12.49"/>
    <n v="5.9162972724731443E-2"/>
    <m/>
    <m/>
    <m/>
  </r>
  <r>
    <s v="POST-60824"/>
    <x v="1"/>
    <d v="2024-12-04T00:00:00"/>
    <x v="1"/>
    <n v="28585"/>
    <n v="11891"/>
    <n v="338"/>
    <n v="121"/>
    <n v="92"/>
    <n v="1.9275843974112295E-2"/>
    <n v="4.63"/>
    <n v="1.9275843974112295E-2"/>
    <m/>
    <m/>
    <m/>
  </r>
  <r>
    <s v="POST-60825"/>
    <x v="2"/>
    <d v="2025-10-11T00:00:00"/>
    <x v="2"/>
    <n v="17663"/>
    <n v="10699"/>
    <n v="273"/>
    <n v="17"/>
    <n v="27"/>
    <n v="1.7947121100605787E-2"/>
    <n v="2.96"/>
    <n v="1.7947121100605787E-2"/>
    <m/>
    <m/>
    <m/>
  </r>
  <r>
    <s v="POST-60826"/>
    <x v="2"/>
    <d v="2024-08-18T00:00:00"/>
    <x v="0"/>
    <n v="11481"/>
    <n v="7128"/>
    <n v="171"/>
    <n v="35"/>
    <n v="27"/>
    <n v="2.029439944255727E-2"/>
    <n v="3.27"/>
    <n v="2.029439944255727E-2"/>
    <m/>
    <m/>
    <m/>
  </r>
  <r>
    <s v="POST-60827"/>
    <x v="1"/>
    <d v="2024-10-07T00:00:00"/>
    <x v="3"/>
    <n v="30075"/>
    <n v="20915"/>
    <n v="1601"/>
    <n v="228"/>
    <n v="62"/>
    <n v="6.2876142975893598E-2"/>
    <n v="9.0399999999999991"/>
    <n v="6.2876142975893598E-2"/>
    <m/>
    <m/>
    <m/>
  </r>
  <r>
    <s v="POST-60828"/>
    <x v="0"/>
    <d v="2024-09-08T00:00:00"/>
    <x v="4"/>
    <n v="43087"/>
    <n v="29240"/>
    <n v="851"/>
    <n v="333"/>
    <n v="640"/>
    <n v="4.2332954255343842E-2"/>
    <n v="6.24"/>
    <n v="4.2332954255343842E-2"/>
    <m/>
    <m/>
    <m/>
  </r>
  <r>
    <s v="POST-60829"/>
    <x v="2"/>
    <d v="2025-09-23T00:00:00"/>
    <x v="2"/>
    <n v="14244"/>
    <n v="12768"/>
    <n v="231"/>
    <n v="47"/>
    <n v="94"/>
    <n v="2.6116259477674809E-2"/>
    <n v="2.91"/>
    <n v="2.6116259477674809E-2"/>
    <m/>
    <m/>
    <m/>
  </r>
  <r>
    <s v="POST-60830"/>
    <x v="4"/>
    <d v="2024-11-22T00:00:00"/>
    <x v="0"/>
    <n v="18511"/>
    <n v="13972"/>
    <n v="643"/>
    <n v="332"/>
    <n v="103"/>
    <n v="5.8235643671330557E-2"/>
    <n v="7.72"/>
    <n v="5.8235643671330557E-2"/>
    <m/>
    <m/>
    <m/>
  </r>
  <r>
    <s v="POST-60831"/>
    <x v="2"/>
    <d v="2025-04-12T00:00:00"/>
    <x v="0"/>
    <n v="12617"/>
    <n v="9372"/>
    <n v="155"/>
    <n v="60"/>
    <n v="36"/>
    <n v="1.9893794087342473E-2"/>
    <n v="2.68"/>
    <n v="1.9893794087342473E-2"/>
    <m/>
    <m/>
    <m/>
  </r>
  <r>
    <s v="POST-60832"/>
    <x v="3"/>
    <d v="2024-05-24T00:00:00"/>
    <x v="2"/>
    <n v="152232"/>
    <n v="90649"/>
    <n v="5749"/>
    <n v="496"/>
    <n v="2756"/>
    <n v="5.9126859004677075E-2"/>
    <n v="9.93"/>
    <n v="5.9126859004677075E-2"/>
    <m/>
    <m/>
    <m/>
  </r>
  <r>
    <s v="POST-60833"/>
    <x v="0"/>
    <d v="2024-07-28T00:00:00"/>
    <x v="4"/>
    <n v="8589"/>
    <n v="3060"/>
    <n v="83"/>
    <n v="51"/>
    <n v="49"/>
    <n v="2.1306322039818373E-2"/>
    <n v="5.98"/>
    <n v="2.1306322039818373E-2"/>
    <m/>
    <m/>
    <m/>
  </r>
  <r>
    <s v="POST-60834"/>
    <x v="0"/>
    <d v="2025-02-10T00:00:00"/>
    <x v="4"/>
    <n v="6956"/>
    <n v="4036"/>
    <n v="176"/>
    <n v="69"/>
    <n v="55"/>
    <n v="4.3128234617596323E-2"/>
    <n v="7.43"/>
    <n v="4.3128234617596323E-2"/>
    <m/>
    <m/>
    <m/>
  </r>
  <r>
    <s v="POST-60835"/>
    <x v="0"/>
    <d v="2025-03-31T00:00:00"/>
    <x v="1"/>
    <n v="16675"/>
    <n v="5590"/>
    <n v="138"/>
    <n v="62"/>
    <n v="118"/>
    <n v="1.9070464767616192E-2"/>
    <n v="5.69"/>
    <n v="1.9070464767616192E-2"/>
    <m/>
    <m/>
    <m/>
  </r>
  <r>
    <s v="POST-60836"/>
    <x v="4"/>
    <d v="2024-05-02T00:00:00"/>
    <x v="1"/>
    <n v="2809"/>
    <n v="1265"/>
    <n v="28"/>
    <n v="22"/>
    <n v="17"/>
    <n v="2.385190459238163E-2"/>
    <n v="5.3"/>
    <n v="2.385190459238163E-2"/>
    <m/>
    <m/>
    <m/>
  </r>
  <r>
    <s v="POST-60837"/>
    <x v="1"/>
    <d v="2024-12-12T00:00:00"/>
    <x v="1"/>
    <n v="11976"/>
    <n v="7595"/>
    <n v="348"/>
    <n v="40"/>
    <n v="9"/>
    <n v="3.3149632598530397E-2"/>
    <n v="5.23"/>
    <n v="3.3149632598530397E-2"/>
    <m/>
    <m/>
    <m/>
  </r>
  <r>
    <s v="POST-60838"/>
    <x v="0"/>
    <d v="2024-12-04T00:00:00"/>
    <x v="4"/>
    <n v="50782"/>
    <n v="24146"/>
    <n v="541"/>
    <n v="336"/>
    <n v="541"/>
    <n v="2.7923279902327597E-2"/>
    <n v="5.87"/>
    <n v="2.7923279902327597E-2"/>
    <m/>
    <m/>
    <m/>
  </r>
  <r>
    <s v="POST-60839"/>
    <x v="1"/>
    <d v="2025-10-08T00:00:00"/>
    <x v="2"/>
    <n v="83900"/>
    <n v="49290"/>
    <n v="3027"/>
    <n v="520"/>
    <n v="121"/>
    <n v="4.3718712753277711E-2"/>
    <n v="7.44"/>
    <n v="4.3718712753277711E-2"/>
    <m/>
    <m/>
    <m/>
  </r>
  <r>
    <s v="POST-60840"/>
    <x v="3"/>
    <d v="2024-05-24T00:00:00"/>
    <x v="3"/>
    <n v="206094"/>
    <n v="92209"/>
    <n v="9894"/>
    <n v="1277"/>
    <n v="1266"/>
    <n v="6.0346249769522645E-2"/>
    <n v="13.49"/>
    <n v="6.0346249769522645E-2"/>
    <m/>
    <m/>
    <m/>
  </r>
  <r>
    <s v="POST-60841"/>
    <x v="1"/>
    <d v="2025-12-12T00:00:00"/>
    <x v="3"/>
    <n v="76099"/>
    <n v="59299"/>
    <n v="1282"/>
    <n v="597"/>
    <n v="181"/>
    <n v="2.7070000919854401E-2"/>
    <n v="3.47"/>
    <n v="2.7070000919854401E-2"/>
    <m/>
    <m/>
    <m/>
  </r>
  <r>
    <s v="POST-60842"/>
    <x v="1"/>
    <d v="2024-10-10T00:00:00"/>
    <x v="3"/>
    <n v="58336"/>
    <n v="28891"/>
    <n v="1609"/>
    <n v="342"/>
    <n v="138"/>
    <n v="3.5809791552386179E-2"/>
    <n v="7.23"/>
    <n v="3.5809791552386179E-2"/>
    <m/>
    <m/>
    <m/>
  </r>
  <r>
    <s v="POST-60843"/>
    <x v="0"/>
    <d v="2024-01-03T00:00:00"/>
    <x v="0"/>
    <n v="10419"/>
    <n v="5268"/>
    <n v="95"/>
    <n v="19"/>
    <n v="98"/>
    <n v="2.034744217295326E-2"/>
    <n v="4.0199999999999996"/>
    <n v="2.034744217295326E-2"/>
    <m/>
    <m/>
    <m/>
  </r>
  <r>
    <s v="POST-60844"/>
    <x v="3"/>
    <d v="2024-08-21T00:00:00"/>
    <x v="2"/>
    <n v="397798"/>
    <n v="251973"/>
    <n v="21279"/>
    <n v="7212"/>
    <n v="6116"/>
    <n v="8.6996415266039545E-2"/>
    <n v="13.73"/>
    <n v="8.6996415266039545E-2"/>
    <m/>
    <m/>
    <m/>
  </r>
  <r>
    <s v="POST-60845"/>
    <x v="3"/>
    <d v="2025-04-27T00:00:00"/>
    <x v="3"/>
    <n v="81633"/>
    <n v="42498"/>
    <n v="2362"/>
    <n v="379"/>
    <n v="842"/>
    <n v="4.3891563460855293E-2"/>
    <n v="8.43"/>
    <n v="4.3891563460855293E-2"/>
    <m/>
    <m/>
    <m/>
  </r>
  <r>
    <s v="POST-60846"/>
    <x v="1"/>
    <d v="2025-05-10T00:00:00"/>
    <x v="2"/>
    <n v="114853"/>
    <n v="90322"/>
    <n v="7036"/>
    <n v="1008"/>
    <n v="460"/>
    <n v="7.4042471681192476E-2"/>
    <n v="9.42"/>
    <n v="7.4042471681192476E-2"/>
    <m/>
    <m/>
    <m/>
  </r>
  <r>
    <s v="POST-60847"/>
    <x v="3"/>
    <d v="2025-01-11T00:00:00"/>
    <x v="3"/>
    <n v="101559"/>
    <n v="37011"/>
    <n v="1403"/>
    <n v="866"/>
    <n v="1702"/>
    <n v="3.9100424383855692E-2"/>
    <n v="10.73"/>
    <n v="3.9100424383855692E-2"/>
    <m/>
    <m/>
    <m/>
  </r>
  <r>
    <s v="POST-60848"/>
    <x v="4"/>
    <d v="2024-08-27T00:00:00"/>
    <x v="2"/>
    <n v="52966"/>
    <n v="33208"/>
    <n v="1342"/>
    <n v="314"/>
    <n v="185"/>
    <n v="3.4758146735641732E-2"/>
    <n v="5.54"/>
    <n v="3.4758146735641732E-2"/>
    <m/>
    <m/>
    <m/>
  </r>
  <r>
    <s v="POST-60849"/>
    <x v="0"/>
    <d v="2024-09-02T00:00:00"/>
    <x v="4"/>
    <n v="43373"/>
    <n v="27936"/>
    <n v="345"/>
    <n v="509"/>
    <n v="623"/>
    <n v="3.4053443386438564E-2"/>
    <n v="5.29"/>
    <n v="3.4053443386438564E-2"/>
    <m/>
    <m/>
    <m/>
  </r>
  <r>
    <s v="POST-60850"/>
    <x v="2"/>
    <d v="2024-03-30T00:00:00"/>
    <x v="1"/>
    <n v="23924"/>
    <n v="17276"/>
    <n v="513"/>
    <n v="82"/>
    <n v="333"/>
    <n v="3.8789500083598064E-2"/>
    <n v="5.37"/>
    <n v="3.8789500083598064E-2"/>
    <m/>
    <m/>
    <m/>
  </r>
  <r>
    <s v="POST-60851"/>
    <x v="3"/>
    <d v="2024-07-23T00:00:00"/>
    <x v="2"/>
    <n v="46459"/>
    <n v="22156"/>
    <n v="2313"/>
    <n v="187"/>
    <n v="1002"/>
    <n v="7.5378290535741188E-2"/>
    <n v="15.81"/>
    <n v="7.5378290535741188E-2"/>
    <m/>
    <m/>
    <m/>
  </r>
  <r>
    <s v="POST-60852"/>
    <x v="4"/>
    <d v="2024-08-27T00:00:00"/>
    <x v="1"/>
    <n v="14787"/>
    <n v="9920"/>
    <n v="185"/>
    <n v="122"/>
    <n v="65"/>
    <n v="2.5157232704402517E-2"/>
    <n v="3.75"/>
    <n v="2.5157232704402517E-2"/>
    <m/>
    <m/>
    <m/>
  </r>
  <r>
    <s v="POST-60853"/>
    <x v="0"/>
    <d v="2025-04-19T00:00:00"/>
    <x v="2"/>
    <n v="25391"/>
    <n v="11521"/>
    <n v="439"/>
    <n v="87"/>
    <n v="300"/>
    <n v="3.2531211846717339E-2"/>
    <n v="7.17"/>
    <n v="3.2531211846717339E-2"/>
    <m/>
    <m/>
    <m/>
  </r>
  <r>
    <s v="POST-60854"/>
    <x v="1"/>
    <d v="2025-10-24T00:00:00"/>
    <x v="3"/>
    <n v="4011"/>
    <n v="3061"/>
    <n v="210"/>
    <n v="42"/>
    <n v="5"/>
    <n v="6.4073797058090257E-2"/>
    <n v="8.4"/>
    <n v="6.4073797058090257E-2"/>
    <m/>
    <m/>
    <m/>
  </r>
  <r>
    <s v="POST-60855"/>
    <x v="4"/>
    <d v="2024-08-13T00:00:00"/>
    <x v="2"/>
    <n v="13250"/>
    <n v="6561"/>
    <n v="367"/>
    <n v="79"/>
    <n v="52"/>
    <n v="3.7584905660377359E-2"/>
    <n v="7.59"/>
    <n v="3.7584905660377359E-2"/>
    <m/>
    <m/>
    <m/>
  </r>
  <r>
    <s v="POST-60856"/>
    <x v="2"/>
    <d v="2024-03-23T00:00:00"/>
    <x v="1"/>
    <n v="22087"/>
    <n v="14182"/>
    <n v="183"/>
    <n v="108"/>
    <n v="137"/>
    <n v="1.937791461040431E-2"/>
    <n v="3.02"/>
    <n v="1.937791461040431E-2"/>
    <m/>
    <m/>
    <m/>
  </r>
  <r>
    <s v="POST-60857"/>
    <x v="3"/>
    <d v="2024-02-28T00:00:00"/>
    <x v="2"/>
    <n v="295436"/>
    <n v="113806"/>
    <n v="9040"/>
    <n v="1908"/>
    <n v="4719"/>
    <n v="5.3030097889221355E-2"/>
    <n v="13.77"/>
    <n v="5.3030097889221355E-2"/>
    <m/>
    <m/>
    <m/>
  </r>
  <r>
    <s v="POST-60858"/>
    <x v="3"/>
    <d v="2025-01-05T00:00:00"/>
    <x v="3"/>
    <n v="52951"/>
    <n v="16963"/>
    <n v="1395"/>
    <n v="404"/>
    <n v="528"/>
    <n v="4.3946289966195165E-2"/>
    <n v="13.72"/>
    <n v="4.3946289966195165E-2"/>
    <m/>
    <m/>
    <m/>
  </r>
  <r>
    <s v="POST-60859"/>
    <x v="0"/>
    <d v="2025-01-16T00:00:00"/>
    <x v="0"/>
    <n v="14623"/>
    <n v="7165"/>
    <n v="351"/>
    <n v="46"/>
    <n v="187"/>
    <n v="3.9937085413389868E-2"/>
    <n v="8.15"/>
    <n v="3.9937085413389868E-2"/>
    <m/>
    <m/>
    <m/>
  </r>
  <r>
    <s v="POST-60860"/>
    <x v="1"/>
    <d v="2024-10-23T00:00:00"/>
    <x v="4"/>
    <n v="16904"/>
    <n v="7010"/>
    <n v="399"/>
    <n v="85"/>
    <n v="24"/>
    <n v="3.0052058684335067E-2"/>
    <n v="7.25"/>
    <n v="3.0052058684335067E-2"/>
    <m/>
    <m/>
    <m/>
  </r>
  <r>
    <s v="POST-60861"/>
    <x v="1"/>
    <d v="2024-04-18T00:00:00"/>
    <x v="2"/>
    <n v="38223"/>
    <n v="15515"/>
    <n v="1141"/>
    <n v="149"/>
    <n v="128"/>
    <n v="3.7098082306464691E-2"/>
    <n v="9.14"/>
    <n v="3.7098082306464691E-2"/>
    <m/>
    <m/>
    <m/>
  </r>
  <r>
    <s v="POST-60862"/>
    <x v="1"/>
    <d v="2024-11-28T00:00:00"/>
    <x v="2"/>
    <n v="33576"/>
    <n v="20539"/>
    <n v="1466"/>
    <n v="253"/>
    <n v="168"/>
    <n v="5.6200857755539672E-2"/>
    <n v="9.19"/>
    <n v="5.6200857755539672E-2"/>
    <m/>
    <m/>
    <m/>
  </r>
  <r>
    <s v="POST-60863"/>
    <x v="2"/>
    <d v="2024-01-21T00:00:00"/>
    <x v="1"/>
    <n v="1717"/>
    <n v="1264"/>
    <n v="32"/>
    <n v="5"/>
    <n v="12"/>
    <n v="2.8538147932440302E-2"/>
    <n v="3.88"/>
    <n v="2.8538147932440302E-2"/>
    <m/>
    <m/>
    <m/>
  </r>
  <r>
    <s v="POST-60864"/>
    <x v="1"/>
    <d v="2025-01-22T00:00:00"/>
    <x v="4"/>
    <n v="70846"/>
    <n v="29721"/>
    <n v="836"/>
    <n v="407"/>
    <n v="288"/>
    <n v="2.1610253225305593E-2"/>
    <n v="5.15"/>
    <n v="2.1610253225305593E-2"/>
    <m/>
    <m/>
    <m/>
  </r>
  <r>
    <s v="POST-60865"/>
    <x v="2"/>
    <d v="2025-11-03T00:00:00"/>
    <x v="1"/>
    <n v="16001"/>
    <n v="14045"/>
    <n v="198"/>
    <n v="60"/>
    <n v="62"/>
    <n v="1.9998750078120117E-2"/>
    <n v="2.2799999999999998"/>
    <n v="1.9998750078120117E-2"/>
    <m/>
    <m/>
    <m/>
  </r>
  <r>
    <s v="POST-60866"/>
    <x v="3"/>
    <d v="2025-06-27T00:00:00"/>
    <x v="2"/>
    <n v="222413"/>
    <n v="136652"/>
    <n v="14940"/>
    <n v="970"/>
    <n v="2340"/>
    <n v="8.2054556163533604E-2"/>
    <n v="13.36"/>
    <n v="8.2054556163533604E-2"/>
    <m/>
    <m/>
    <m/>
  </r>
  <r>
    <s v="POST-60867"/>
    <x v="3"/>
    <d v="2024-07-23T00:00:00"/>
    <x v="2"/>
    <n v="371354"/>
    <n v="158284"/>
    <n v="14566"/>
    <n v="2207"/>
    <n v="5270"/>
    <n v="5.93584558130517E-2"/>
    <n v="13.93"/>
    <n v="5.93584558130517E-2"/>
    <m/>
    <m/>
    <m/>
  </r>
  <r>
    <s v="POST-60868"/>
    <x v="2"/>
    <d v="2024-11-07T00:00:00"/>
    <x v="1"/>
    <n v="19988"/>
    <n v="11201"/>
    <n v="120"/>
    <n v="83"/>
    <n v="116"/>
    <n v="1.595957574544727E-2"/>
    <n v="2.85"/>
    <n v="1.595957574544727E-2"/>
    <m/>
    <m/>
    <m/>
  </r>
  <r>
    <s v="POST-60869"/>
    <x v="2"/>
    <d v="2025-05-14T00:00:00"/>
    <x v="1"/>
    <n v="2183"/>
    <n v="1582"/>
    <n v="9"/>
    <n v="3"/>
    <n v="22"/>
    <n v="1.5574896930829134E-2"/>
    <n v="2.15"/>
    <n v="1.5574896930829134E-2"/>
    <m/>
    <m/>
    <m/>
  </r>
  <r>
    <s v="POST-60870"/>
    <x v="3"/>
    <d v="2025-07-09T00:00:00"/>
    <x v="2"/>
    <n v="447455"/>
    <n v="248265"/>
    <n v="27946"/>
    <n v="2847"/>
    <n v="2710"/>
    <n v="7.4874568392352306E-2"/>
    <n v="13.49"/>
    <n v="7.4874568392352306E-2"/>
    <m/>
    <m/>
    <m/>
  </r>
  <r>
    <s v="POST-60871"/>
    <x v="3"/>
    <d v="2025-11-18T00:00:00"/>
    <x v="3"/>
    <n v="375754"/>
    <n v="180192"/>
    <n v="20777"/>
    <n v="4687"/>
    <n v="7363"/>
    <n v="8.7363008777019011E-2"/>
    <n v="18.22"/>
    <n v="8.7363008777019011E-2"/>
    <m/>
    <m/>
    <m/>
  </r>
  <r>
    <s v="POST-60872"/>
    <x v="2"/>
    <d v="2024-05-26T00:00:00"/>
    <x v="2"/>
    <n v="58711"/>
    <n v="51306"/>
    <n v="1211"/>
    <n v="398"/>
    <n v="675"/>
    <n v="3.8902420330091468E-2"/>
    <n v="4.45"/>
    <n v="3.8902420330091468E-2"/>
    <m/>
    <m/>
    <m/>
  </r>
  <r>
    <s v="POST-60873"/>
    <x v="3"/>
    <d v="2024-10-13T00:00:00"/>
    <x v="3"/>
    <n v="315347"/>
    <n v="113639"/>
    <n v="11492"/>
    <n v="2613"/>
    <n v="5573"/>
    <n v="6.2401101009364288E-2"/>
    <n v="17.32"/>
    <n v="6.2401101009364288E-2"/>
    <m/>
    <m/>
    <m/>
  </r>
  <r>
    <s v="POST-60874"/>
    <x v="2"/>
    <d v="2025-03-19T00:00:00"/>
    <x v="0"/>
    <n v="976"/>
    <n v="644"/>
    <n v="16"/>
    <n v="2"/>
    <n v="10"/>
    <n v="2.8688524590163935E-2"/>
    <n v="4.3499999999999996"/>
    <n v="2.8688524590163935E-2"/>
    <m/>
    <m/>
    <m/>
  </r>
  <r>
    <s v="POST-60875"/>
    <x v="0"/>
    <d v="2024-10-10T00:00:00"/>
    <x v="4"/>
    <n v="19264"/>
    <n v="12632"/>
    <n v="157"/>
    <n v="39"/>
    <n v="129"/>
    <n v="1.6870847176079735E-2"/>
    <n v="2.57"/>
    <n v="1.6870847176079735E-2"/>
    <m/>
    <m/>
    <m/>
  </r>
  <r>
    <s v="POST-60876"/>
    <x v="3"/>
    <d v="2024-06-12T00:00:00"/>
    <x v="2"/>
    <n v="476942"/>
    <n v="275182"/>
    <n v="17135"/>
    <n v="3065"/>
    <n v="3541"/>
    <n v="4.977754108466019E-2"/>
    <n v="8.6300000000000008"/>
    <n v="4.977754108466019E-2"/>
    <m/>
    <m/>
    <m/>
  </r>
  <r>
    <s v="POST-60877"/>
    <x v="0"/>
    <d v="2024-10-07T00:00:00"/>
    <x v="1"/>
    <n v="13582"/>
    <n v="5738"/>
    <n v="57"/>
    <n v="49"/>
    <n v="115"/>
    <n v="1.627153585628037E-2"/>
    <n v="3.85"/>
    <n v="1.627153585628037E-2"/>
    <m/>
    <m/>
    <m/>
  </r>
  <r>
    <s v="POST-60878"/>
    <x v="0"/>
    <d v="2025-04-05T00:00:00"/>
    <x v="2"/>
    <n v="28843"/>
    <n v="19168"/>
    <n v="698"/>
    <n v="117"/>
    <n v="149"/>
    <n v="3.3422320840411884E-2"/>
    <n v="5.03"/>
    <n v="3.3422320840411884E-2"/>
    <m/>
    <m/>
    <m/>
  </r>
  <r>
    <s v="POST-60879"/>
    <x v="0"/>
    <d v="2024-08-06T00:00:00"/>
    <x v="0"/>
    <n v="29866"/>
    <n v="13649"/>
    <n v="310"/>
    <n v="230"/>
    <n v="392"/>
    <n v="3.120605370655595E-2"/>
    <n v="6.83"/>
    <n v="3.120605370655595E-2"/>
    <m/>
    <m/>
    <m/>
  </r>
  <r>
    <s v="POST-60880"/>
    <x v="0"/>
    <d v="2025-12-28T00:00:00"/>
    <x v="4"/>
    <n v="29825"/>
    <n v="16209"/>
    <n v="256"/>
    <n v="164"/>
    <n v="252"/>
    <n v="2.2531433361274097E-2"/>
    <n v="4.1500000000000004"/>
    <n v="2.2531433361274097E-2"/>
    <m/>
    <m/>
    <m/>
  </r>
  <r>
    <s v="POST-60881"/>
    <x v="1"/>
    <d v="2024-09-17T00:00:00"/>
    <x v="3"/>
    <n v="22627"/>
    <n v="12566"/>
    <n v="267"/>
    <n v="57"/>
    <n v="43"/>
    <n v="1.6219560701816415E-2"/>
    <n v="2.92"/>
    <n v="1.6219560701816415E-2"/>
    <m/>
    <m/>
    <m/>
  </r>
  <r>
    <s v="POST-60882"/>
    <x v="2"/>
    <d v="2024-07-04T00:00:00"/>
    <x v="1"/>
    <n v="3548"/>
    <n v="2994"/>
    <n v="78"/>
    <n v="14"/>
    <n v="14"/>
    <n v="2.987598647125141E-2"/>
    <n v="3.54"/>
    <n v="2.987598647125141E-2"/>
    <m/>
    <m/>
    <m/>
  </r>
  <r>
    <s v="POST-60883"/>
    <x v="1"/>
    <d v="2025-05-17T00:00:00"/>
    <x v="1"/>
    <n v="25939"/>
    <n v="10890"/>
    <n v="633"/>
    <n v="43"/>
    <n v="71"/>
    <n v="2.8798334554146265E-2"/>
    <n v="6.86"/>
    <n v="2.8798334554146265E-2"/>
    <m/>
    <m/>
    <m/>
  </r>
  <r>
    <s v="POST-60884"/>
    <x v="0"/>
    <d v="2024-07-23T00:00:00"/>
    <x v="0"/>
    <n v="5443"/>
    <n v="2215"/>
    <n v="30"/>
    <n v="39"/>
    <n v="54"/>
    <n v="2.2597832077898217E-2"/>
    <n v="5.55"/>
    <n v="2.2597832077898217E-2"/>
    <m/>
    <m/>
    <m/>
  </r>
  <r>
    <s v="POST-60885"/>
    <x v="1"/>
    <d v="2025-01-15T00:00:00"/>
    <x v="2"/>
    <n v="66171"/>
    <n v="42597"/>
    <n v="2477"/>
    <n v="500"/>
    <n v="76"/>
    <n v="4.6138036299889683E-2"/>
    <n v="7.17"/>
    <n v="4.6138036299889683E-2"/>
    <m/>
    <m/>
    <m/>
  </r>
  <r>
    <s v="POST-60886"/>
    <x v="0"/>
    <d v="2024-10-12T00:00:00"/>
    <x v="2"/>
    <n v="16428"/>
    <n v="5621"/>
    <n v="56"/>
    <n v="78"/>
    <n v="39"/>
    <n v="1.0530801071341613E-2"/>
    <n v="3.08"/>
    <n v="1.0530801071341613E-2"/>
    <m/>
    <m/>
    <m/>
  </r>
  <r>
    <s v="POST-60887"/>
    <x v="1"/>
    <d v="2025-05-27T00:00:00"/>
    <x v="4"/>
    <n v="33748"/>
    <n v="20652"/>
    <n v="1454"/>
    <n v="46"/>
    <n v="194"/>
    <n v="5.0195567144719684E-2"/>
    <n v="8.1999999999999993"/>
    <n v="5.0195567144719684E-2"/>
    <m/>
    <m/>
    <m/>
  </r>
  <r>
    <s v="POST-60888"/>
    <x v="3"/>
    <d v="2024-12-31T00:00:00"/>
    <x v="3"/>
    <n v="257884"/>
    <n v="169444"/>
    <n v="13273"/>
    <n v="3292"/>
    <n v="3944"/>
    <n v="7.9528004839385144E-2"/>
    <n v="12.1"/>
    <n v="7.9528004839385144E-2"/>
    <m/>
    <m/>
    <m/>
  </r>
  <r>
    <s v="POST-60889"/>
    <x v="1"/>
    <d v="2024-05-05T00:00:00"/>
    <x v="4"/>
    <n v="45413"/>
    <n v="34207"/>
    <n v="802"/>
    <n v="100"/>
    <n v="178"/>
    <n v="2.3781736507167552E-2"/>
    <n v="3.16"/>
    <n v="2.3781736507167552E-2"/>
    <m/>
    <m/>
    <m/>
  </r>
  <r>
    <s v="POST-60890"/>
    <x v="2"/>
    <d v="2024-05-30T00:00:00"/>
    <x v="0"/>
    <n v="1754"/>
    <n v="1371"/>
    <n v="25"/>
    <n v="6"/>
    <n v="6"/>
    <n v="2.1094640820980615E-2"/>
    <n v="2.7"/>
    <n v="2.1094640820980615E-2"/>
    <m/>
    <m/>
    <m/>
  </r>
  <r>
    <s v="POST-60891"/>
    <x v="2"/>
    <d v="2025-11-23T00:00:00"/>
    <x v="1"/>
    <n v="276"/>
    <n v="248"/>
    <n v="5"/>
    <n v="1"/>
    <n v="2"/>
    <n v="2.8985507246376812E-2"/>
    <n v="3.23"/>
    <n v="2.8985507246376812E-2"/>
    <m/>
    <m/>
    <m/>
  </r>
  <r>
    <s v="POST-60892"/>
    <x v="0"/>
    <d v="2024-10-14T00:00:00"/>
    <x v="4"/>
    <n v="15505"/>
    <n v="6664"/>
    <n v="145"/>
    <n v="27"/>
    <n v="145"/>
    <n v="2.0445017736214124E-2"/>
    <n v="4.76"/>
    <n v="2.0445017736214124E-2"/>
    <m/>
    <m/>
    <m/>
  </r>
  <r>
    <s v="POST-60893"/>
    <x v="2"/>
    <d v="2024-10-30T00:00:00"/>
    <x v="2"/>
    <n v="14933"/>
    <n v="8845"/>
    <n v="112"/>
    <n v="44"/>
    <n v="68"/>
    <n v="1.5000334828902432E-2"/>
    <n v="2.5299999999999998"/>
    <n v="1.5000334828902432E-2"/>
    <m/>
    <m/>
    <m/>
  </r>
  <r>
    <s v="POST-60894"/>
    <x v="3"/>
    <d v="2025-08-20T00:00:00"/>
    <x v="3"/>
    <n v="81936"/>
    <n v="52909"/>
    <n v="2978"/>
    <n v="740"/>
    <n v="2081"/>
    <n v="7.0774751025190388E-2"/>
    <n v="10.96"/>
    <n v="7.0774751025190388E-2"/>
    <m/>
    <m/>
    <m/>
  </r>
  <r>
    <s v="POST-60895"/>
    <x v="1"/>
    <d v="2025-01-23T00:00:00"/>
    <x v="3"/>
    <n v="57977"/>
    <n v="40677"/>
    <n v="2927"/>
    <n v="527"/>
    <n v="120"/>
    <n v="6.1645135139796817E-2"/>
    <n v="8.7899999999999991"/>
    <n v="6.1645135139796817E-2"/>
    <m/>
    <m/>
    <m/>
  </r>
  <r>
    <s v="POST-60896"/>
    <x v="1"/>
    <d v="2024-08-31T00:00:00"/>
    <x v="3"/>
    <n v="89229"/>
    <n v="62294"/>
    <n v="2398"/>
    <n v="801"/>
    <n v="138"/>
    <n v="3.7398155308251801E-2"/>
    <n v="5.36"/>
    <n v="3.7398155308251801E-2"/>
    <m/>
    <m/>
    <m/>
  </r>
  <r>
    <s v="POST-60897"/>
    <x v="4"/>
    <d v="2025-12-18T00:00:00"/>
    <x v="4"/>
    <n v="4496"/>
    <n v="2387"/>
    <n v="67"/>
    <n v="40"/>
    <n v="17"/>
    <n v="2.7580071174377226E-2"/>
    <n v="5.19"/>
    <n v="2.7580071174377226E-2"/>
    <m/>
    <m/>
    <m/>
  </r>
  <r>
    <s v="POST-60898"/>
    <x v="3"/>
    <d v="2024-12-24T00:00:00"/>
    <x v="3"/>
    <n v="114649"/>
    <n v="40915"/>
    <n v="4905"/>
    <n v="627"/>
    <n v="1019"/>
    <n v="5.7139617441059234E-2"/>
    <n v="16.010000000000002"/>
    <n v="5.7139617441059234E-2"/>
    <m/>
    <m/>
    <m/>
  </r>
  <r>
    <s v="POST-60899"/>
    <x v="1"/>
    <d v="2025-04-30T00:00:00"/>
    <x v="4"/>
    <n v="57763"/>
    <n v="39016"/>
    <n v="2813"/>
    <n v="376"/>
    <n v="121"/>
    <n v="5.7303117912850789E-2"/>
    <n v="8.48"/>
    <n v="5.7303117912850789E-2"/>
    <m/>
    <m/>
    <m/>
  </r>
  <r>
    <s v="POST-60900"/>
    <x v="2"/>
    <d v="2024-02-10T00:00:00"/>
    <x v="0"/>
    <n v="13664"/>
    <n v="7037"/>
    <n v="193"/>
    <n v="40"/>
    <n v="28"/>
    <n v="1.9101288056206089E-2"/>
    <n v="3.71"/>
    <n v="1.9101288056206089E-2"/>
    <m/>
    <m/>
    <m/>
  </r>
  <r>
    <s v="POST-60901"/>
    <x v="0"/>
    <d v="2025-04-24T00:00:00"/>
    <x v="2"/>
    <n v="64115"/>
    <n v="40522"/>
    <n v="595"/>
    <n v="676"/>
    <n v="1102"/>
    <n v="3.7011619745769324E-2"/>
    <n v="5.86"/>
    <n v="3.7011619745769324E-2"/>
    <m/>
    <m/>
    <m/>
  </r>
  <r>
    <s v="POST-60902"/>
    <x v="3"/>
    <d v="2024-06-27T00:00:00"/>
    <x v="3"/>
    <n v="90328"/>
    <n v="42224"/>
    <n v="1995"/>
    <n v="1075"/>
    <n v="1562"/>
    <n v="5.1279780356035781E-2"/>
    <n v="10.97"/>
    <n v="5.1279780356035781E-2"/>
    <m/>
    <m/>
    <m/>
  </r>
  <r>
    <s v="POST-60903"/>
    <x v="1"/>
    <d v="2024-10-23T00:00:00"/>
    <x v="1"/>
    <n v="35571"/>
    <n v="26417"/>
    <n v="1163"/>
    <n v="337"/>
    <n v="87"/>
    <n v="4.4614995361389895E-2"/>
    <n v="6.01"/>
    <n v="4.4614995361389895E-2"/>
    <m/>
    <m/>
    <m/>
  </r>
  <r>
    <s v="POST-60904"/>
    <x v="1"/>
    <d v="2025-08-27T00:00:00"/>
    <x v="1"/>
    <n v="40905"/>
    <n v="31015"/>
    <n v="2164"/>
    <n v="203"/>
    <n v="58"/>
    <n v="5.9283706148392616E-2"/>
    <n v="7.82"/>
    <n v="5.9283706148392616E-2"/>
    <m/>
    <m/>
    <m/>
  </r>
  <r>
    <s v="POST-60905"/>
    <x v="1"/>
    <d v="2024-09-30T00:00:00"/>
    <x v="1"/>
    <n v="28847"/>
    <n v="16971"/>
    <n v="1078"/>
    <n v="73"/>
    <n v="164"/>
    <n v="4.558532949700142E-2"/>
    <n v="7.75"/>
    <n v="4.558532949700142E-2"/>
    <m/>
    <m/>
    <m/>
  </r>
  <r>
    <s v="POST-60906"/>
    <x v="0"/>
    <d v="2025-07-24T00:00:00"/>
    <x v="0"/>
    <n v="4581"/>
    <n v="1515"/>
    <n v="34"/>
    <n v="13"/>
    <n v="45"/>
    <n v="2.0082951320672341E-2"/>
    <n v="6.07"/>
    <n v="2.0082951320672341E-2"/>
    <m/>
    <m/>
    <m/>
  </r>
  <r>
    <s v="POST-60907"/>
    <x v="3"/>
    <d v="2024-11-09T00:00:00"/>
    <x v="2"/>
    <n v="231187"/>
    <n v="120922"/>
    <n v="6396"/>
    <n v="3163"/>
    <n v="3519"/>
    <n v="5.656892472327596E-2"/>
    <n v="10.82"/>
    <n v="5.656892472327596E-2"/>
    <m/>
    <m/>
    <m/>
  </r>
  <r>
    <s v="POST-60908"/>
    <x v="1"/>
    <d v="2024-04-19T00:00:00"/>
    <x v="1"/>
    <n v="19046"/>
    <n v="10075"/>
    <n v="319"/>
    <n v="147"/>
    <n v="67"/>
    <n v="2.7984878714690749E-2"/>
    <n v="5.29"/>
    <n v="2.7984878714690749E-2"/>
    <m/>
    <m/>
    <m/>
  </r>
  <r>
    <s v="POST-60909"/>
    <x v="1"/>
    <d v="2025-11-07T00:00:00"/>
    <x v="3"/>
    <n v="24051"/>
    <n v="10657"/>
    <n v="755"/>
    <n v="153"/>
    <n v="85"/>
    <n v="4.1287264562804044E-2"/>
    <n v="9.32"/>
    <n v="4.1287264562804044E-2"/>
    <m/>
    <m/>
    <m/>
  </r>
  <r>
    <s v="POST-60910"/>
    <x v="1"/>
    <d v="2024-09-26T00:00:00"/>
    <x v="2"/>
    <n v="72929"/>
    <n v="38930"/>
    <n v="1482"/>
    <n v="471"/>
    <n v="84"/>
    <n v="2.7931275624237271E-2"/>
    <n v="5.23"/>
    <n v="2.7931275624237271E-2"/>
    <m/>
    <m/>
    <m/>
  </r>
  <r>
    <s v="POST-60911"/>
    <x v="3"/>
    <d v="2025-07-03T00:00:00"/>
    <x v="3"/>
    <n v="53676"/>
    <n v="37463"/>
    <n v="1490"/>
    <n v="282"/>
    <n v="1104"/>
    <n v="5.3580743721588789E-2"/>
    <n v="7.68"/>
    <n v="5.3580743721588789E-2"/>
    <m/>
    <m/>
    <m/>
  </r>
  <r>
    <s v="POST-60912"/>
    <x v="1"/>
    <d v="2025-02-17T00:00:00"/>
    <x v="2"/>
    <n v="71115"/>
    <n v="34108"/>
    <n v="1168"/>
    <n v="322"/>
    <n v="214"/>
    <n v="2.3961189622442522E-2"/>
    <n v="5"/>
    <n v="2.3961189622442522E-2"/>
    <m/>
    <m/>
    <m/>
  </r>
  <r>
    <s v="POST-60913"/>
    <x v="3"/>
    <d v="2025-11-16T00:00:00"/>
    <x v="3"/>
    <n v="37114"/>
    <n v="21005"/>
    <n v="2220"/>
    <n v="571"/>
    <n v="995"/>
    <n v="0.1020100231718489"/>
    <n v="18.02"/>
    <n v="0.1020100231718489"/>
    <m/>
    <m/>
    <m/>
  </r>
  <r>
    <s v="POST-60914"/>
    <x v="4"/>
    <d v="2025-09-24T00:00:00"/>
    <x v="0"/>
    <n v="2081"/>
    <n v="917"/>
    <n v="37"/>
    <n v="14"/>
    <n v="8"/>
    <n v="2.8351753964440174E-2"/>
    <n v="6.43"/>
    <n v="2.8351753964440174E-2"/>
    <m/>
    <m/>
    <m/>
  </r>
  <r>
    <s v="POST-60915"/>
    <x v="2"/>
    <d v="2024-01-19T00:00:00"/>
    <x v="0"/>
    <n v="1845"/>
    <n v="1615"/>
    <n v="38"/>
    <n v="3"/>
    <n v="8"/>
    <n v="2.6558265582655827E-2"/>
    <n v="3.03"/>
    <n v="2.6558265582655827E-2"/>
    <m/>
    <m/>
    <m/>
  </r>
  <r>
    <s v="POST-60916"/>
    <x v="2"/>
    <d v="2024-09-20T00:00:00"/>
    <x v="1"/>
    <n v="4817"/>
    <n v="3595"/>
    <n v="106"/>
    <n v="21"/>
    <n v="32"/>
    <n v="3.3008096325513804E-2"/>
    <n v="4.42"/>
    <n v="3.3008096325513804E-2"/>
    <m/>
    <m/>
    <m/>
  </r>
  <r>
    <s v="POST-60917"/>
    <x v="3"/>
    <d v="2024-10-06T00:00:00"/>
    <x v="3"/>
    <n v="128853"/>
    <n v="68911"/>
    <n v="7500"/>
    <n v="596"/>
    <n v="1685"/>
    <n v="7.5908205474455384E-2"/>
    <n v="14.19"/>
    <n v="7.5908205474455384E-2"/>
    <m/>
    <m/>
    <m/>
  </r>
  <r>
    <s v="POST-60918"/>
    <x v="1"/>
    <d v="2025-03-21T00:00:00"/>
    <x v="3"/>
    <n v="57654"/>
    <n v="26522"/>
    <n v="1262"/>
    <n v="79"/>
    <n v="132"/>
    <n v="2.5548964512436257E-2"/>
    <n v="5.55"/>
    <n v="2.5548964512436257E-2"/>
    <m/>
    <m/>
    <m/>
  </r>
  <r>
    <s v="POST-60919"/>
    <x v="3"/>
    <d v="2025-01-21T00:00:00"/>
    <x v="3"/>
    <n v="47053"/>
    <n v="21925"/>
    <n v="2027"/>
    <n v="225"/>
    <n v="1001"/>
    <n v="6.9134805432172236E-2"/>
    <n v="14.84"/>
    <n v="6.9134805432172236E-2"/>
    <m/>
    <m/>
    <m/>
  </r>
  <r>
    <s v="POST-60920"/>
    <x v="3"/>
    <d v="2024-06-01T00:00:00"/>
    <x v="3"/>
    <n v="350053"/>
    <n v="177316"/>
    <n v="7347"/>
    <n v="1039"/>
    <n v="5092"/>
    <n v="3.850274101350367E-2"/>
    <n v="7.6"/>
    <n v="3.850274101350367E-2"/>
    <m/>
    <m/>
    <m/>
  </r>
  <r>
    <s v="POST-60921"/>
    <x v="3"/>
    <d v="2025-04-17T00:00:00"/>
    <x v="2"/>
    <n v="129192"/>
    <n v="60725"/>
    <n v="2190"/>
    <n v="1267"/>
    <n v="758"/>
    <n v="3.2625859186327329E-2"/>
    <n v="6.94"/>
    <n v="3.2625859186327329E-2"/>
    <m/>
    <m/>
    <m/>
  </r>
  <r>
    <s v="POST-60922"/>
    <x v="3"/>
    <d v="2024-11-11T00:00:00"/>
    <x v="3"/>
    <n v="289201"/>
    <n v="117343"/>
    <n v="8320"/>
    <n v="2383"/>
    <n v="1721"/>
    <n v="4.2959740803109256E-2"/>
    <n v="10.59"/>
    <n v="4.2959740803109256E-2"/>
    <m/>
    <m/>
    <m/>
  </r>
  <r>
    <s v="POST-60923"/>
    <x v="0"/>
    <d v="2024-05-06T00:00:00"/>
    <x v="2"/>
    <n v="14173"/>
    <n v="9631"/>
    <n v="381"/>
    <n v="172"/>
    <n v="109"/>
    <n v="4.6708530304099341E-2"/>
    <n v="6.87"/>
    <n v="4.6708530304099341E-2"/>
    <m/>
    <m/>
    <m/>
  </r>
  <r>
    <s v="POST-60924"/>
    <x v="0"/>
    <d v="2025-11-13T00:00:00"/>
    <x v="4"/>
    <n v="47814"/>
    <n v="18972"/>
    <n v="249"/>
    <n v="259"/>
    <n v="340"/>
    <n v="1.7735391307985109E-2"/>
    <n v="4.47"/>
    <n v="1.7735391307985109E-2"/>
    <m/>
    <m/>
    <m/>
  </r>
  <r>
    <s v="POST-60925"/>
    <x v="1"/>
    <d v="2024-03-02T00:00:00"/>
    <x v="3"/>
    <n v="1353"/>
    <n v="957"/>
    <n v="72"/>
    <n v="12"/>
    <n v="8"/>
    <n v="6.7997043606799701E-2"/>
    <n v="9.61"/>
    <n v="6.7997043606799701E-2"/>
    <m/>
    <m/>
    <m/>
  </r>
  <r>
    <s v="POST-60926"/>
    <x v="4"/>
    <d v="2025-11-11T00:00:00"/>
    <x v="0"/>
    <n v="16306"/>
    <n v="11783"/>
    <n v="533"/>
    <n v="293"/>
    <n v="166"/>
    <n v="6.0836501901140684E-2"/>
    <n v="8.42"/>
    <n v="6.0836501901140684E-2"/>
    <m/>
    <m/>
    <m/>
  </r>
  <r>
    <s v="POST-60927"/>
    <x v="1"/>
    <d v="2025-06-25T00:00:00"/>
    <x v="3"/>
    <n v="69358"/>
    <n v="34743"/>
    <n v="749"/>
    <n v="342"/>
    <n v="49"/>
    <n v="1.6436460105539376E-2"/>
    <n v="3.28"/>
    <n v="1.6436460105539376E-2"/>
    <m/>
    <m/>
    <m/>
  </r>
  <r>
    <s v="POST-60928"/>
    <x v="0"/>
    <d v="2025-03-11T00:00:00"/>
    <x v="2"/>
    <n v="39610"/>
    <n v="15900"/>
    <n v="721"/>
    <n v="100"/>
    <n v="172"/>
    <n v="2.5069426912395859E-2"/>
    <n v="6.25"/>
    <n v="2.5069426912395859E-2"/>
    <m/>
    <m/>
    <m/>
  </r>
  <r>
    <s v="POST-60929"/>
    <x v="1"/>
    <d v="2024-05-08T00:00:00"/>
    <x v="3"/>
    <n v="47145"/>
    <n v="34797"/>
    <n v="806"/>
    <n v="193"/>
    <n v="185"/>
    <n v="2.5114009969243824E-2"/>
    <n v="3.4"/>
    <n v="2.5114009969243824E-2"/>
    <m/>
    <m/>
    <m/>
  </r>
  <r>
    <s v="POST-60930"/>
    <x v="4"/>
    <d v="2025-03-19T00:00:00"/>
    <x v="0"/>
    <n v="1328"/>
    <n v="886"/>
    <n v="52"/>
    <n v="18"/>
    <n v="2"/>
    <n v="5.4216867469879519E-2"/>
    <n v="8.1300000000000008"/>
    <n v="5.4216867469879519E-2"/>
    <m/>
    <m/>
    <m/>
  </r>
  <r>
    <s v="POST-60931"/>
    <x v="0"/>
    <d v="2025-02-02T00:00:00"/>
    <x v="4"/>
    <n v="44711"/>
    <n v="29695"/>
    <n v="1326"/>
    <n v="363"/>
    <n v="565"/>
    <n v="5.0412650130840286E-2"/>
    <n v="7.59"/>
    <n v="5.0412650130840286E-2"/>
    <m/>
    <m/>
    <m/>
  </r>
  <r>
    <s v="POST-60932"/>
    <x v="0"/>
    <d v="2025-11-11T00:00:00"/>
    <x v="4"/>
    <n v="9790"/>
    <n v="4339"/>
    <n v="208"/>
    <n v="50"/>
    <n v="31"/>
    <n v="2.9519918283963227E-2"/>
    <n v="6.66"/>
    <n v="2.9519918283963227E-2"/>
    <m/>
    <m/>
    <m/>
  </r>
  <r>
    <s v="POST-60933"/>
    <x v="1"/>
    <d v="2025-10-10T00:00:00"/>
    <x v="3"/>
    <n v="82927"/>
    <n v="48095"/>
    <n v="2222"/>
    <n v="323"/>
    <n v="426"/>
    <n v="3.5826690945048055E-2"/>
    <n v="6.18"/>
    <n v="3.5826690945048055E-2"/>
    <m/>
    <m/>
    <m/>
  </r>
  <r>
    <s v="POST-60934"/>
    <x v="1"/>
    <d v="2025-09-02T00:00:00"/>
    <x v="2"/>
    <n v="68786"/>
    <n v="52234"/>
    <n v="2949"/>
    <n v="388"/>
    <n v="204"/>
    <n v="5.1478498531677956E-2"/>
    <n v="6.78"/>
    <n v="5.1478498531677956E-2"/>
    <m/>
    <m/>
    <m/>
  </r>
  <r>
    <s v="POST-60935"/>
    <x v="1"/>
    <d v="2024-11-20T00:00:00"/>
    <x v="2"/>
    <n v="79894"/>
    <n v="44755"/>
    <n v="2566"/>
    <n v="422"/>
    <n v="338"/>
    <n v="4.1630159961949582E-2"/>
    <n v="7.43"/>
    <n v="4.1630159961949582E-2"/>
    <m/>
    <m/>
    <m/>
  </r>
  <r>
    <s v="POST-60936"/>
    <x v="3"/>
    <d v="2024-06-03T00:00:00"/>
    <x v="2"/>
    <n v="373146"/>
    <n v="195558"/>
    <n v="12870"/>
    <n v="1644"/>
    <n v="4133"/>
    <n v="4.9972396863426111E-2"/>
    <n v="9.5399999999999991"/>
    <n v="4.9972396863426111E-2"/>
    <m/>
    <m/>
    <m/>
  </r>
  <r>
    <s v="POST-60937"/>
    <x v="0"/>
    <d v="2025-03-29T00:00:00"/>
    <x v="0"/>
    <n v="28164"/>
    <n v="11721"/>
    <n v="495"/>
    <n v="54"/>
    <n v="246"/>
    <n v="2.8227524499360886E-2"/>
    <n v="6.78"/>
    <n v="2.8227524499360886E-2"/>
    <m/>
    <m/>
    <m/>
  </r>
  <r>
    <s v="POST-60938"/>
    <x v="4"/>
    <d v="2024-03-23T00:00:00"/>
    <x v="0"/>
    <n v="4663"/>
    <n v="2579"/>
    <n v="57"/>
    <n v="29"/>
    <n v="20"/>
    <n v="2.2732146686682393E-2"/>
    <n v="4.1100000000000003"/>
    <n v="2.2732146686682393E-2"/>
    <m/>
    <m/>
    <m/>
  </r>
  <r>
    <s v="POST-60939"/>
    <x v="1"/>
    <d v="2024-03-01T00:00:00"/>
    <x v="2"/>
    <n v="23546"/>
    <n v="14843"/>
    <n v="798"/>
    <n v="102"/>
    <n v="32"/>
    <n v="3.9582094623290577E-2"/>
    <n v="6.28"/>
    <n v="3.9582094623290577E-2"/>
    <m/>
    <m/>
    <m/>
  </r>
  <r>
    <s v="POST-60940"/>
    <x v="0"/>
    <d v="2024-06-07T00:00:00"/>
    <x v="1"/>
    <n v="9924"/>
    <n v="6406"/>
    <n v="92"/>
    <n v="42"/>
    <n v="147"/>
    <n v="2.8315195485691252E-2"/>
    <n v="4.3899999999999997"/>
    <n v="2.8315195485691252E-2"/>
    <m/>
    <m/>
    <m/>
  </r>
  <r>
    <s v="POST-60941"/>
    <x v="3"/>
    <d v="2025-11-13T00:00:00"/>
    <x v="2"/>
    <n v="39904"/>
    <n v="19181"/>
    <n v="2144"/>
    <n v="430"/>
    <n v="436"/>
    <n v="7.5431034482758619E-2"/>
    <n v="15.69"/>
    <n v="7.5431034482758619E-2"/>
    <m/>
    <m/>
    <m/>
  </r>
  <r>
    <s v="POST-60942"/>
    <x v="0"/>
    <d v="2024-08-28T00:00:00"/>
    <x v="2"/>
    <n v="22877"/>
    <n v="9782"/>
    <n v="128"/>
    <n v="195"/>
    <n v="169"/>
    <n v="2.1506316387638238E-2"/>
    <n v="5.03"/>
    <n v="2.1506316387638238E-2"/>
    <m/>
    <m/>
    <m/>
  </r>
  <r>
    <s v="POST-60943"/>
    <x v="3"/>
    <d v="2025-07-16T00:00:00"/>
    <x v="2"/>
    <n v="252248"/>
    <n v="168800"/>
    <n v="9359"/>
    <n v="2215"/>
    <n v="2569"/>
    <n v="5.6067838000697728E-2"/>
    <n v="8.3800000000000008"/>
    <n v="5.6067838000697728E-2"/>
    <m/>
    <m/>
    <m/>
  </r>
  <r>
    <s v="POST-60944"/>
    <x v="2"/>
    <d v="2024-11-09T00:00:00"/>
    <x v="1"/>
    <n v="16226"/>
    <n v="13962"/>
    <n v="281"/>
    <n v="89"/>
    <n v="44"/>
    <n v="2.5514606187600149E-2"/>
    <n v="2.97"/>
    <n v="2.5514606187600149E-2"/>
    <m/>
    <m/>
    <m/>
  </r>
  <r>
    <s v="POST-60945"/>
    <x v="4"/>
    <d v="2025-05-11T00:00:00"/>
    <x v="0"/>
    <n v="5362"/>
    <n v="3547"/>
    <n v="98"/>
    <n v="26"/>
    <n v="27"/>
    <n v="2.816113390525923E-2"/>
    <n v="4.26"/>
    <n v="2.816113390525923E-2"/>
    <m/>
    <m/>
    <m/>
  </r>
  <r>
    <s v="POST-60946"/>
    <x v="0"/>
    <d v="2025-08-31T00:00:00"/>
    <x v="4"/>
    <n v="43568"/>
    <n v="28301"/>
    <n v="1119"/>
    <n v="376"/>
    <n v="362"/>
    <n v="4.2623026074182883E-2"/>
    <n v="6.56"/>
    <n v="4.2623026074182883E-2"/>
    <m/>
    <m/>
    <m/>
  </r>
  <r>
    <s v="POST-60947"/>
    <x v="4"/>
    <d v="2024-03-22T00:00:00"/>
    <x v="2"/>
    <n v="7280"/>
    <n v="3066"/>
    <n v="61"/>
    <n v="73"/>
    <n v="23"/>
    <n v="2.1565934065934066E-2"/>
    <n v="5.12"/>
    <n v="2.1565934065934066E-2"/>
    <m/>
    <m/>
    <m/>
  </r>
  <r>
    <s v="POST-60948"/>
    <x v="2"/>
    <d v="2025-01-02T00:00:00"/>
    <x v="0"/>
    <n v="10413"/>
    <n v="8906"/>
    <n v="137"/>
    <n v="39"/>
    <n v="24"/>
    <n v="1.9206760779794489E-2"/>
    <n v="2.25"/>
    <n v="1.9206760779794489E-2"/>
    <m/>
    <m/>
    <m/>
  </r>
  <r>
    <s v="POST-60949"/>
    <x v="1"/>
    <d v="2024-03-23T00:00:00"/>
    <x v="2"/>
    <n v="15038"/>
    <n v="8320"/>
    <n v="337"/>
    <n v="96"/>
    <n v="53"/>
    <n v="3.2318127410559915E-2"/>
    <n v="5.84"/>
    <n v="3.2318127410559915E-2"/>
    <m/>
    <m/>
    <m/>
  </r>
  <r>
    <s v="POST-60950"/>
    <x v="3"/>
    <d v="2025-08-31T00:00:00"/>
    <x v="3"/>
    <n v="245722"/>
    <n v="96249"/>
    <n v="10979"/>
    <n v="1999"/>
    <n v="4264"/>
    <n v="7.0168727260888325E-2"/>
    <n v="17.91"/>
    <n v="7.0168727260888325E-2"/>
    <m/>
    <m/>
    <m/>
  </r>
  <r>
    <s v="POST-60951"/>
    <x v="2"/>
    <d v="2024-08-24T00:00:00"/>
    <x v="0"/>
    <n v="11451"/>
    <n v="5857"/>
    <n v="49"/>
    <n v="26"/>
    <n v="61"/>
    <n v="1.1876691991965766E-2"/>
    <n v="2.3199999999999998"/>
    <n v="1.1876691991965766E-2"/>
    <m/>
    <m/>
    <m/>
  </r>
  <r>
    <s v="POST-60952"/>
    <x v="0"/>
    <d v="2024-10-25T00:00:00"/>
    <x v="1"/>
    <n v="5966"/>
    <n v="3019"/>
    <n v="50"/>
    <n v="58"/>
    <n v="27"/>
    <n v="2.2628226617499161E-2"/>
    <n v="4.47"/>
    <n v="2.2628226617499161E-2"/>
    <m/>
    <m/>
    <m/>
  </r>
  <r>
    <s v="POST-60953"/>
    <x v="4"/>
    <d v="2025-07-15T00:00:00"/>
    <x v="2"/>
    <n v="47465"/>
    <n v="37269"/>
    <n v="1872"/>
    <n v="551"/>
    <n v="334"/>
    <n v="5.8084904666596437E-2"/>
    <n v="7.4"/>
    <n v="5.8084904666596437E-2"/>
    <m/>
    <m/>
    <m/>
  </r>
  <r>
    <s v="POST-60954"/>
    <x v="2"/>
    <d v="2024-10-10T00:00:00"/>
    <x v="2"/>
    <n v="746"/>
    <n v="392"/>
    <n v="6"/>
    <n v="0"/>
    <n v="3"/>
    <n v="1.2064343163538873E-2"/>
    <n v="2.2999999999999998"/>
    <n v="1.2064343163538873E-2"/>
    <m/>
    <m/>
    <m/>
  </r>
  <r>
    <s v="POST-60955"/>
    <x v="1"/>
    <d v="2024-04-21T00:00:00"/>
    <x v="3"/>
    <n v="49179"/>
    <n v="19677"/>
    <n v="1531"/>
    <n v="57"/>
    <n v="42"/>
    <n v="3.3144228227495479E-2"/>
    <n v="8.2799999999999994"/>
    <n v="3.3144228227495479E-2"/>
    <m/>
    <m/>
    <m/>
  </r>
  <r>
    <s v="POST-60956"/>
    <x v="0"/>
    <d v="2024-05-24T00:00:00"/>
    <x v="0"/>
    <n v="6392"/>
    <n v="2878"/>
    <n v="100"/>
    <n v="41"/>
    <n v="60"/>
    <n v="3.1445556946182729E-2"/>
    <n v="6.98"/>
    <n v="3.1445556946182729E-2"/>
    <m/>
    <m/>
    <m/>
  </r>
  <r>
    <s v="POST-60957"/>
    <x v="4"/>
    <d v="2024-06-08T00:00:00"/>
    <x v="1"/>
    <n v="13214"/>
    <n v="9289"/>
    <n v="463"/>
    <n v="159"/>
    <n v="137"/>
    <n v="5.7439079763886784E-2"/>
    <n v="8.17"/>
    <n v="5.7439079763886784E-2"/>
    <m/>
    <m/>
    <m/>
  </r>
  <r>
    <s v="POST-60958"/>
    <x v="3"/>
    <d v="2025-03-06T00:00:00"/>
    <x v="2"/>
    <n v="273634"/>
    <n v="133368"/>
    <n v="9781"/>
    <n v="3873"/>
    <n v="5187"/>
    <n v="6.8854747582537262E-2"/>
    <n v="14.13"/>
    <n v="6.8854747582537262E-2"/>
    <m/>
    <m/>
    <m/>
  </r>
  <r>
    <s v="POST-60959"/>
    <x v="2"/>
    <d v="2024-12-23T00:00:00"/>
    <x v="1"/>
    <n v="7961"/>
    <n v="6392"/>
    <n v="73"/>
    <n v="7"/>
    <n v="101"/>
    <n v="2.2735837206381108E-2"/>
    <n v="2.83"/>
    <n v="2.2735837206381108E-2"/>
    <m/>
    <m/>
    <m/>
  </r>
  <r>
    <s v="POST-60960"/>
    <x v="1"/>
    <d v="2024-01-06T00:00:00"/>
    <x v="2"/>
    <n v="12719"/>
    <n v="5518"/>
    <n v="325"/>
    <n v="40"/>
    <n v="21"/>
    <n v="3.0348297822155829E-2"/>
    <n v="7"/>
    <n v="3.0348297822155829E-2"/>
    <m/>
    <m/>
    <m/>
  </r>
  <r>
    <s v="POST-60961"/>
    <x v="1"/>
    <d v="2024-07-02T00:00:00"/>
    <x v="1"/>
    <n v="21544"/>
    <n v="13950"/>
    <n v="297"/>
    <n v="111"/>
    <n v="107"/>
    <n v="2.3904567396955068E-2"/>
    <n v="3.69"/>
    <n v="2.3904567396955068E-2"/>
    <m/>
    <m/>
    <m/>
  </r>
  <r>
    <s v="POST-60962"/>
    <x v="1"/>
    <d v="2025-10-16T00:00:00"/>
    <x v="2"/>
    <n v="99969"/>
    <n v="42551"/>
    <n v="1344"/>
    <n v="311"/>
    <n v="284"/>
    <n v="1.9396012763956826E-2"/>
    <n v="4.5599999999999996"/>
    <n v="1.9396012763956826E-2"/>
    <m/>
    <m/>
    <m/>
  </r>
  <r>
    <s v="POST-60963"/>
    <x v="3"/>
    <d v="2024-10-13T00:00:00"/>
    <x v="3"/>
    <n v="277010"/>
    <n v="138818"/>
    <n v="5929"/>
    <n v="4065"/>
    <n v="5079"/>
    <n v="5.4413198079491715E-2"/>
    <n v="10.86"/>
    <n v="5.4413198079491715E-2"/>
    <m/>
    <m/>
    <m/>
  </r>
  <r>
    <s v="POST-60964"/>
    <x v="0"/>
    <d v="2025-03-26T00:00:00"/>
    <x v="2"/>
    <n v="14165"/>
    <n v="9162"/>
    <n v="147"/>
    <n v="94"/>
    <n v="176"/>
    <n v="2.9438757500882456E-2"/>
    <n v="4.55"/>
    <n v="2.9438757500882456E-2"/>
    <m/>
    <m/>
    <m/>
  </r>
  <r>
    <s v="POST-60965"/>
    <x v="1"/>
    <d v="2024-05-16T00:00:00"/>
    <x v="2"/>
    <n v="62223"/>
    <n v="34365"/>
    <n v="2184"/>
    <n v="233"/>
    <n v="155"/>
    <n v="4.133519759574434E-2"/>
    <n v="7.48"/>
    <n v="4.133519759574434E-2"/>
    <m/>
    <m/>
    <m/>
  </r>
  <r>
    <s v="POST-60966"/>
    <x v="3"/>
    <d v="2025-03-31T00:00:00"/>
    <x v="2"/>
    <n v="376541"/>
    <n v="148247"/>
    <n v="17640"/>
    <n v="4413"/>
    <n v="5267"/>
    <n v="7.2555179914006715E-2"/>
    <n v="18.43"/>
    <n v="7.2555179914006715E-2"/>
    <m/>
    <m/>
    <m/>
  </r>
  <r>
    <s v="POST-60967"/>
    <x v="0"/>
    <d v="2025-01-05T00:00:00"/>
    <x v="1"/>
    <n v="6165"/>
    <n v="2175"/>
    <n v="64"/>
    <n v="15"/>
    <n v="64"/>
    <n v="2.3195458231954583E-2"/>
    <n v="6.57"/>
    <n v="2.3195458231954583E-2"/>
    <m/>
    <m/>
    <m/>
  </r>
  <r>
    <s v="POST-60968"/>
    <x v="2"/>
    <d v="2024-12-13T00:00:00"/>
    <x v="0"/>
    <n v="23521"/>
    <n v="20054"/>
    <n v="160"/>
    <n v="111"/>
    <n v="185"/>
    <n v="1.9386930827770928E-2"/>
    <n v="2.27"/>
    <n v="1.9386930827770928E-2"/>
    <m/>
    <m/>
    <m/>
  </r>
  <r>
    <s v="POST-60969"/>
    <x v="4"/>
    <d v="2024-05-18T00:00:00"/>
    <x v="4"/>
    <n v="9282"/>
    <n v="5962"/>
    <n v="234"/>
    <n v="75"/>
    <n v="42"/>
    <n v="3.7815126050420166E-2"/>
    <n v="5.89"/>
    <n v="3.7815126050420166E-2"/>
    <m/>
    <m/>
    <m/>
  </r>
  <r>
    <s v="POST-60970"/>
    <x v="2"/>
    <d v="2025-06-21T00:00:00"/>
    <x v="2"/>
    <n v="26423"/>
    <n v="15975"/>
    <n v="282"/>
    <n v="23"/>
    <n v="257"/>
    <n v="2.1269348673504145E-2"/>
    <n v="3.52"/>
    <n v="2.1269348673504145E-2"/>
    <m/>
    <m/>
    <m/>
  </r>
  <r>
    <s v="POST-60971"/>
    <x v="2"/>
    <d v="2025-10-27T00:00:00"/>
    <x v="1"/>
    <n v="5462"/>
    <n v="3524"/>
    <n v="103"/>
    <n v="11"/>
    <n v="31"/>
    <n v="2.6547052361772246E-2"/>
    <n v="4.1100000000000003"/>
    <n v="2.6547052361772246E-2"/>
    <m/>
    <m/>
    <m/>
  </r>
  <r>
    <s v="POST-60972"/>
    <x v="2"/>
    <d v="2025-10-11T00:00:00"/>
    <x v="0"/>
    <n v="9373"/>
    <n v="6591"/>
    <n v="156"/>
    <n v="10"/>
    <n v="98"/>
    <n v="2.816600874853302E-2"/>
    <n v="4.01"/>
    <n v="2.816600874853302E-2"/>
    <m/>
    <m/>
    <m/>
  </r>
  <r>
    <s v="POST-60973"/>
    <x v="4"/>
    <d v="2024-12-26T00:00:00"/>
    <x v="2"/>
    <n v="11118"/>
    <n v="5229"/>
    <n v="196"/>
    <n v="30"/>
    <n v="69"/>
    <n v="2.6533549199496312E-2"/>
    <n v="5.64"/>
    <n v="2.6533549199496312E-2"/>
    <m/>
    <m/>
    <m/>
  </r>
  <r>
    <s v="POST-60974"/>
    <x v="1"/>
    <d v="2025-04-13T00:00:00"/>
    <x v="4"/>
    <n v="20217"/>
    <n v="8590"/>
    <n v="355"/>
    <n v="91"/>
    <n v="84"/>
    <n v="2.6215561161398823E-2"/>
    <n v="6.17"/>
    <n v="2.6215561161398823E-2"/>
    <m/>
    <m/>
    <m/>
  </r>
  <r>
    <s v="POST-60975"/>
    <x v="4"/>
    <d v="2025-09-16T00:00:00"/>
    <x v="4"/>
    <n v="27250"/>
    <n v="16118"/>
    <n v="527"/>
    <n v="269"/>
    <n v="143"/>
    <n v="3.4458715596330278E-2"/>
    <n v="5.83"/>
    <n v="3.4458715596330278E-2"/>
    <m/>
    <m/>
    <m/>
  </r>
  <r>
    <s v="POST-60976"/>
    <x v="4"/>
    <d v="2024-08-13T00:00:00"/>
    <x v="0"/>
    <n v="11600"/>
    <n v="4905"/>
    <n v="284"/>
    <n v="73"/>
    <n v="34"/>
    <n v="3.3706896551724139E-2"/>
    <n v="7.97"/>
    <n v="3.3706896551724139E-2"/>
    <m/>
    <m/>
    <m/>
  </r>
  <r>
    <s v="POST-60977"/>
    <x v="3"/>
    <d v="2024-08-13T00:00:00"/>
    <x v="2"/>
    <n v="422218"/>
    <n v="218271"/>
    <n v="13194"/>
    <n v="5257"/>
    <n v="9736"/>
    <n v="6.6759351804044353E-2"/>
    <n v="12.91"/>
    <n v="6.6759351804044353E-2"/>
    <m/>
    <m/>
    <m/>
  </r>
  <r>
    <s v="POST-60978"/>
    <x v="0"/>
    <d v="2025-06-23T00:00:00"/>
    <x v="0"/>
    <n v="7766"/>
    <n v="2559"/>
    <n v="118"/>
    <n v="48"/>
    <n v="75"/>
    <n v="3.1032706670100437E-2"/>
    <n v="9.42"/>
    <n v="3.1032706670100437E-2"/>
    <m/>
    <m/>
    <m/>
  </r>
  <r>
    <s v="POST-60979"/>
    <x v="1"/>
    <d v="2024-12-18T00:00:00"/>
    <x v="4"/>
    <n v="40881"/>
    <n v="28847"/>
    <n v="866"/>
    <n v="207"/>
    <n v="178"/>
    <n v="3.0601012695384164E-2"/>
    <n v="4.34"/>
    <n v="3.0601012695384164E-2"/>
    <m/>
    <m/>
    <m/>
  </r>
  <r>
    <s v="POST-60980"/>
    <x v="4"/>
    <d v="2024-06-29T00:00:00"/>
    <x v="1"/>
    <n v="14948"/>
    <n v="8117"/>
    <n v="414"/>
    <n v="163"/>
    <n v="36"/>
    <n v="4.1008830612791008E-2"/>
    <n v="7.55"/>
    <n v="4.1008830612791008E-2"/>
    <m/>
    <m/>
    <m/>
  </r>
  <r>
    <s v="POST-60981"/>
    <x v="3"/>
    <d v="2024-04-15T00:00:00"/>
    <x v="2"/>
    <n v="423592"/>
    <n v="184173"/>
    <n v="11210"/>
    <n v="4113"/>
    <n v="2791"/>
    <n v="4.2762847268125931E-2"/>
    <n v="9.84"/>
    <n v="4.2762847268125931E-2"/>
    <m/>
    <m/>
    <m/>
  </r>
  <r>
    <s v="POST-60982"/>
    <x v="0"/>
    <d v="2025-01-15T00:00:00"/>
    <x v="0"/>
    <n v="25434"/>
    <n v="17008"/>
    <n v="433"/>
    <n v="75"/>
    <n v="442"/>
    <n v="3.7351576629708262E-2"/>
    <n v="5.59"/>
    <n v="3.7351576629708262E-2"/>
    <m/>
    <m/>
    <m/>
  </r>
  <r>
    <s v="POST-60983"/>
    <x v="4"/>
    <d v="2024-04-21T00:00:00"/>
    <x v="4"/>
    <n v="4418"/>
    <n v="2307"/>
    <n v="116"/>
    <n v="22"/>
    <n v="14"/>
    <n v="3.4404708012675415E-2"/>
    <n v="6.59"/>
    <n v="3.4404708012675415E-2"/>
    <m/>
    <m/>
    <m/>
  </r>
  <r>
    <s v="POST-60984"/>
    <x v="0"/>
    <d v="2024-05-06T00:00:00"/>
    <x v="4"/>
    <n v="2777"/>
    <n v="1342"/>
    <n v="66"/>
    <n v="5"/>
    <n v="25"/>
    <n v="3.4569679510262873E-2"/>
    <n v="7.15"/>
    <n v="3.4569679510262873E-2"/>
    <m/>
    <m/>
    <m/>
  </r>
  <r>
    <s v="POST-60985"/>
    <x v="4"/>
    <d v="2024-03-21T00:00:00"/>
    <x v="0"/>
    <n v="11582"/>
    <n v="5633"/>
    <n v="93"/>
    <n v="73"/>
    <n v="32"/>
    <n v="1.7095493006389226E-2"/>
    <n v="3.52"/>
    <n v="1.7095493006389226E-2"/>
    <m/>
    <m/>
    <m/>
  </r>
  <r>
    <s v="POST-60986"/>
    <x v="0"/>
    <d v="2025-02-28T00:00:00"/>
    <x v="0"/>
    <n v="5501"/>
    <n v="3359"/>
    <n v="75"/>
    <n v="27"/>
    <n v="56"/>
    <n v="2.8722050536266135E-2"/>
    <n v="4.7"/>
    <n v="2.8722050536266135E-2"/>
    <m/>
    <m/>
    <m/>
  </r>
  <r>
    <s v="POST-60987"/>
    <x v="2"/>
    <d v="2024-05-07T00:00:00"/>
    <x v="0"/>
    <n v="4273"/>
    <n v="2786"/>
    <n v="65"/>
    <n v="21"/>
    <n v="50"/>
    <n v="3.1827755675169669E-2"/>
    <n v="4.88"/>
    <n v="3.1827755675169669E-2"/>
    <m/>
    <m/>
    <m/>
  </r>
  <r>
    <s v="POST-60988"/>
    <x v="4"/>
    <d v="2024-04-21T00:00:00"/>
    <x v="2"/>
    <n v="22423"/>
    <n v="17363"/>
    <n v="539"/>
    <n v="246"/>
    <n v="144"/>
    <n v="4.1430673861659904E-2"/>
    <n v="5.35"/>
    <n v="4.1430673861659904E-2"/>
    <m/>
    <m/>
    <m/>
  </r>
  <r>
    <s v="POST-60989"/>
    <x v="0"/>
    <d v="2024-08-25T00:00:00"/>
    <x v="4"/>
    <n v="20903"/>
    <n v="10809"/>
    <n v="304"/>
    <n v="127"/>
    <n v="200"/>
    <n v="3.0187054489786154E-2"/>
    <n v="5.84"/>
    <n v="3.0187054489786154E-2"/>
    <m/>
    <m/>
    <m/>
  </r>
  <r>
    <s v="POST-60990"/>
    <x v="1"/>
    <d v="2025-05-16T00:00:00"/>
    <x v="3"/>
    <n v="96470"/>
    <n v="57260"/>
    <n v="1230"/>
    <n v="539"/>
    <n v="144"/>
    <n v="1.9829998963408313E-2"/>
    <n v="3.34"/>
    <n v="1.9829998963408313E-2"/>
    <m/>
    <m/>
    <m/>
  </r>
  <r>
    <s v="POST-60991"/>
    <x v="2"/>
    <d v="2025-06-17T00:00:00"/>
    <x v="1"/>
    <n v="14054"/>
    <n v="9988"/>
    <n v="217"/>
    <n v="41"/>
    <n v="62"/>
    <n v="2.2769318343532092E-2"/>
    <n v="3.2"/>
    <n v="2.2769318343532092E-2"/>
    <m/>
    <m/>
    <m/>
  </r>
  <r>
    <s v="POST-60992"/>
    <x v="2"/>
    <d v="2024-01-25T00:00:00"/>
    <x v="0"/>
    <n v="3747"/>
    <n v="1978"/>
    <n v="26"/>
    <n v="4"/>
    <n v="23"/>
    <n v="1.4144649052575394E-2"/>
    <n v="2.68"/>
    <n v="1.4144649052575394E-2"/>
    <m/>
    <m/>
    <m/>
  </r>
  <r>
    <s v="POST-60993"/>
    <x v="0"/>
    <d v="2024-09-09T00:00:00"/>
    <x v="0"/>
    <n v="10380"/>
    <n v="4344"/>
    <n v="131"/>
    <n v="71"/>
    <n v="37"/>
    <n v="2.302504816955684E-2"/>
    <n v="5.5"/>
    <n v="2.302504816955684E-2"/>
    <m/>
    <m/>
    <m/>
  </r>
  <r>
    <s v="POST-60994"/>
    <x v="2"/>
    <d v="2025-10-24T00:00:00"/>
    <x v="0"/>
    <n v="22714"/>
    <n v="14395"/>
    <n v="298"/>
    <n v="92"/>
    <n v="119"/>
    <n v="2.2409086906753545E-2"/>
    <n v="3.54"/>
    <n v="2.2409086906753545E-2"/>
    <m/>
    <m/>
    <m/>
  </r>
  <r>
    <s v="POST-60995"/>
    <x v="0"/>
    <d v="2024-05-11T00:00:00"/>
    <x v="4"/>
    <n v="26648"/>
    <n v="9105"/>
    <n v="204"/>
    <n v="127"/>
    <n v="107"/>
    <n v="1.6436505553887721E-2"/>
    <n v="4.8099999999999996"/>
    <n v="1.6436505553887721E-2"/>
    <m/>
    <m/>
    <m/>
  </r>
  <r>
    <s v="POST-60996"/>
    <x v="1"/>
    <d v="2025-03-23T00:00:00"/>
    <x v="1"/>
    <n v="2934"/>
    <n v="1462"/>
    <n v="116"/>
    <n v="19"/>
    <n v="1"/>
    <n v="4.6353101567825496E-2"/>
    <n v="9.3000000000000007"/>
    <n v="4.6353101567825496E-2"/>
    <m/>
    <m/>
    <m/>
  </r>
  <r>
    <s v="POST-60997"/>
    <x v="1"/>
    <d v="2025-05-27T00:00:00"/>
    <x v="4"/>
    <n v="84023"/>
    <n v="35548"/>
    <n v="2015"/>
    <n v="347"/>
    <n v="74"/>
    <n v="2.8992061697392379E-2"/>
    <n v="6.85"/>
    <n v="2.8992061697392379E-2"/>
    <m/>
    <m/>
    <m/>
  </r>
  <r>
    <s v="POST-60998"/>
    <x v="0"/>
    <d v="2025-09-06T00:00:00"/>
    <x v="0"/>
    <n v="10873"/>
    <n v="4156"/>
    <n v="61"/>
    <n v="16"/>
    <n v="22"/>
    <n v="9.1051227812011404E-3"/>
    <n v="2.38"/>
    <n v="9.1051227812011404E-3"/>
    <m/>
    <m/>
    <m/>
  </r>
  <r>
    <s v="POST-60999"/>
    <x v="0"/>
    <d v="2024-11-03T00:00:00"/>
    <x v="2"/>
    <n v="2959"/>
    <n v="1258"/>
    <n v="17"/>
    <n v="10"/>
    <n v="28"/>
    <n v="1.858736059479554E-2"/>
    <n v="4.37"/>
    <n v="1.858736059479554E-2"/>
    <m/>
    <m/>
    <m/>
  </r>
  <r>
    <s v="POST-61000"/>
    <x v="3"/>
    <d v="2025-03-01T00:00:00"/>
    <x v="3"/>
    <n v="132006"/>
    <n v="59268"/>
    <n v="4064"/>
    <n v="1000"/>
    <n v="2514"/>
    <n v="5.7406481523567109E-2"/>
    <n v="12.79"/>
    <n v="5.7406481523567109E-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63C5B-8165-4A88-9FC1-0084BEF213C0}" name="PivotTable1" cacheId="5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3:B10" firstHeaderRow="2" firstDataRow="2" firstDataCol="1"/>
  <pivotFields count="15">
    <pivotField compact="0" outline="0" showAll="0" includeNewItemsInFilter="1"/>
    <pivotField compact="0" outline="0" showAll="0" includeNewItemsInFilter="1"/>
    <pivotField compact="0" numFmtId="164" outline="0" showAll="0" includeNewItemsInFilter="1"/>
    <pivotField axis="axisRow" compact="0" outline="0" showAll="0" includeNewItemsInFilter="1">
      <items count="6">
        <item x="4"/>
        <item x="1"/>
        <item x="3"/>
        <item x="0"/>
        <item x="2"/>
        <item t="default"/>
      </items>
    </pivotField>
    <pivotField compact="0" numFmtId="3" outline="0" showAll="0" includeNewItemsInFilter="1"/>
    <pivotField compact="0" numFmtId="3" outline="0" showAll="0" includeNewItemsInFilter="1"/>
    <pivotField compact="0" numFmtId="3" outline="0" showAll="0" includeNewItemsInFilter="1"/>
    <pivotField compact="0" numFmtId="3" outline="0" showAll="0" includeNewItemsInFilter="1"/>
    <pivotField dataField="1" compact="0" numFmtId="3" outline="0" showAll="0" includeNewItemsInFilter="1"/>
    <pivotField compact="0" outline="0" showAll="0" includeNewItemsInFilter="1"/>
    <pivotField compact="0" numFmtId="165" outline="0" showAll="0" includeNewItemsInFilter="1"/>
    <pivotField compact="0" numFmtId="1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zz" fld="8" baseField="0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82796-1869-461F-BD99-AFC0818D44EF}" name="PivotTable3" cacheId="5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C10" firstHeaderRow="1" firstDataRow="2" firstDataCol="1"/>
  <pivotFields count="15">
    <pivotField compact="0" outline="0" showAll="0" includeNewItemsInFilter="1"/>
    <pivotField axis="axisRow" compact="0" outline="0" showAll="0" includeNewItemsInFilter="1">
      <items count="6">
        <item x="0"/>
        <item x="1"/>
        <item x="4"/>
        <item x="3"/>
        <item x="2"/>
        <item t="default"/>
      </items>
    </pivotField>
    <pivotField compact="0" numFmtId="164" outline="0" showAll="0" includeNewItemsInFilter="1"/>
    <pivotField compact="0" outline="0" showAll="0" includeNewItemsInFilter="1"/>
    <pivotField dataField="1" compact="0" numFmtId="3" outline="0" showAll="0" includeNewItemsInFilter="1"/>
    <pivotField compact="0" numFmtId="3" outline="0" showAll="0" includeNewItemsInFilter="1"/>
    <pivotField dataField="1" compact="0" numFmtId="3" outline="0" showAll="0" includeNewItemsInFilter="1"/>
    <pivotField compact="0" numFmtId="3" outline="0" showAll="0" includeNewItemsInFilter="1"/>
    <pivotField compact="0" numFmtId="3" outline="0" showAll="0" includeNewItemsInFilter="1"/>
    <pivotField compact="0" outline="0" showAll="0" includeNewItemsInFilter="1"/>
    <pivotField compact="0" numFmtId="165" outline="0" showAll="0" includeNewItemsInFilter="1"/>
    <pivotField compact="0" numFmtId="1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" fld="4" baseField="0" baseItem="0" numFmtId="3"/>
    <dataField name="Sum of Likes" fld="6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1:C8" firstHeaderRow="1" firstDataRow="2" firstDataCol="1"/>
  <pivotFields count="15">
    <pivotField name="Post ID" compact="0" outline="0" multipleItemSelectionAllowed="1" showAll="0"/>
    <pivotField name="Platform" axis="axisRow" compact="0" outline="0" multipleItemSelectionAllowed="1" showAll="0" sortType="ascending">
      <items count="6">
        <item x="0"/>
        <item x="1"/>
        <item x="4"/>
        <item x="3"/>
        <item x="2"/>
        <item t="default"/>
      </items>
    </pivotField>
    <pivotField name="Post Date" compact="0" numFmtId="164" outline="0" multipleItemSelectionAllowed="1" showAll="0"/>
    <pivotField name="Content Type" compact="0" outline="0" multipleItemSelectionAllowed="1" showAll="0"/>
    <pivotField name="Impressions" dataField="1" compact="0" numFmtId="3" outline="0" multipleItemSelectionAllowed="1" showAll="0"/>
    <pivotField name="Reach" compact="0" numFmtId="3" outline="0" multipleItemSelectionAllowed="1" showAll="0"/>
    <pivotField name="Likes" dataField="1" compact="0" numFmtId="3" outline="0" multipleItemSelectionAllowed="1" showAll="0"/>
    <pivotField name="Comments" compact="0" numFmtId="3" outline="0" multipleItemSelectionAllowed="1" showAll="0"/>
    <pivotField name="Shares" compact="0" numFmtId="3" outline="0" multipleItemSelectionAllowed="1" showAll="0"/>
    <pivotField compact="0" outline="0" showAll="0" includeNewItemsInFilter="1"/>
    <pivotField name="Engagement Rate %" compact="0" numFmtId="165" outline="0" multipleItemSelectionAllowed="1" showAll="0"/>
    <pivotField name="Engagement Rate" compact="0" numFmtId="10" outline="0" multipleItemSelectionAllowed="1" showAll="0"/>
    <pivotField name="content type2" compact="0" outline="0" multipleItemSelectionAllowed="1" showAll="0"/>
    <pivotField name="Total Shares" compact="0" outline="0" multipleItemSelectionAllowed="1" showAll="0"/>
    <pivotField name="engagement rate2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" fld="4" baseField="0"/>
    <dataField name="SUM of Like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85F57A-68E0-489C-8566-0BA38118ED3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9FTe3N8OPSuuUjaXROUjY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BC91-EBB5-42AF-B879-C8C7C3E048A4}">
  <dimension ref="A3:B10"/>
  <sheetViews>
    <sheetView topLeftCell="A5"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8.109375" bestFit="1" customWidth="1"/>
  </cols>
  <sheetData>
    <row r="3" spans="1:2" x14ac:dyDescent="0.3">
      <c r="A3" s="14" t="s">
        <v>1029</v>
      </c>
      <c r="B3" s="20"/>
    </row>
    <row r="4" spans="1:2" x14ac:dyDescent="0.3">
      <c r="A4" s="14" t="s">
        <v>3</v>
      </c>
      <c r="B4" s="20" t="s">
        <v>1028</v>
      </c>
    </row>
    <row r="5" spans="1:2" x14ac:dyDescent="0.3">
      <c r="A5" s="13" t="s">
        <v>25</v>
      </c>
      <c r="B5" s="21">
        <v>25182</v>
      </c>
    </row>
    <row r="6" spans="1:2" x14ac:dyDescent="0.3">
      <c r="A6" s="17" t="s">
        <v>17</v>
      </c>
      <c r="B6" s="22">
        <v>18617</v>
      </c>
    </row>
    <row r="7" spans="1:2" x14ac:dyDescent="0.3">
      <c r="A7" s="17" t="s">
        <v>23</v>
      </c>
      <c r="B7" s="22">
        <v>444520</v>
      </c>
    </row>
    <row r="8" spans="1:2" x14ac:dyDescent="0.3">
      <c r="A8" s="17" t="s">
        <v>14</v>
      </c>
      <c r="B8" s="22">
        <v>13094</v>
      </c>
    </row>
    <row r="9" spans="1:2" x14ac:dyDescent="0.3">
      <c r="A9" s="17" t="s">
        <v>20</v>
      </c>
      <c r="B9" s="22">
        <v>440197</v>
      </c>
    </row>
    <row r="10" spans="1:2" x14ac:dyDescent="0.3">
      <c r="A10" s="18" t="s">
        <v>81</v>
      </c>
      <c r="B10" s="23">
        <v>941610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0348-C366-4E11-953B-FA530C8189F6}">
  <dimension ref="A3:C10"/>
  <sheetViews>
    <sheetView topLeftCell="A2" workbookViewId="0">
      <selection activeCell="B5" sqref="B5"/>
    </sheetView>
  </sheetViews>
  <sheetFormatPr defaultRowHeight="14.4" x14ac:dyDescent="0.3"/>
  <cols>
    <col min="1" max="1" width="10.21875" bestFit="1" customWidth="1"/>
    <col min="2" max="2" width="16.6640625" bestFit="1" customWidth="1"/>
    <col min="3" max="3" width="10.88671875" bestFit="1" customWidth="1"/>
  </cols>
  <sheetData>
    <row r="3" spans="1:3" x14ac:dyDescent="0.3">
      <c r="A3" s="13"/>
      <c r="B3" s="14" t="s">
        <v>1031</v>
      </c>
      <c r="C3" s="15"/>
    </row>
    <row r="4" spans="1:3" x14ac:dyDescent="0.3">
      <c r="A4" s="14" t="s">
        <v>1</v>
      </c>
      <c r="B4" s="13" t="s">
        <v>1030</v>
      </c>
      <c r="C4" s="16" t="s">
        <v>1032</v>
      </c>
    </row>
    <row r="5" spans="1:3" x14ac:dyDescent="0.3">
      <c r="A5" s="13" t="s">
        <v>13</v>
      </c>
      <c r="B5" s="24">
        <v>4229271</v>
      </c>
      <c r="C5" s="25">
        <v>62993</v>
      </c>
    </row>
    <row r="6" spans="1:3" x14ac:dyDescent="0.3">
      <c r="A6" s="17" t="s">
        <v>16</v>
      </c>
      <c r="B6" s="26">
        <v>12425477</v>
      </c>
      <c r="C6" s="27">
        <v>371886</v>
      </c>
    </row>
    <row r="7" spans="1:3" x14ac:dyDescent="0.3">
      <c r="A7" s="17" t="s">
        <v>30</v>
      </c>
      <c r="B7" s="26">
        <v>2033218</v>
      </c>
      <c r="C7" s="27">
        <v>46667</v>
      </c>
    </row>
    <row r="8" spans="1:3" x14ac:dyDescent="0.3">
      <c r="A8" s="17" t="s">
        <v>22</v>
      </c>
      <c r="B8" s="26">
        <v>56611226</v>
      </c>
      <c r="C8" s="27">
        <v>2070105</v>
      </c>
    </row>
    <row r="9" spans="1:3" x14ac:dyDescent="0.3">
      <c r="A9" s="17" t="s">
        <v>19</v>
      </c>
      <c r="B9" s="26">
        <v>2930077</v>
      </c>
      <c r="C9" s="27">
        <v>37591</v>
      </c>
    </row>
    <row r="10" spans="1:3" x14ac:dyDescent="0.3">
      <c r="A10" s="18" t="s">
        <v>81</v>
      </c>
      <c r="B10" s="28">
        <v>78229269</v>
      </c>
      <c r="C10" s="29">
        <v>2589242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showGridLines="0" topLeftCell="A15" workbookViewId="0"/>
  </sheetViews>
  <sheetFormatPr defaultColWidth="12.6640625" defaultRowHeight="15" customHeight="1" x14ac:dyDescent="0.3"/>
  <cols>
    <col min="2" max="2" width="16.88671875" customWidth="1"/>
  </cols>
  <sheetData>
    <row r="1" spans="1:3" ht="14.4" x14ac:dyDescent="0.3">
      <c r="A1" s="13"/>
      <c r="B1" s="14" t="s">
        <v>1026</v>
      </c>
      <c r="C1" s="15"/>
    </row>
    <row r="2" spans="1:3" ht="14.4" x14ac:dyDescent="0.3">
      <c r="A2" s="14" t="s">
        <v>1</v>
      </c>
      <c r="B2" s="13" t="s">
        <v>76</v>
      </c>
      <c r="C2" s="16" t="s">
        <v>77</v>
      </c>
    </row>
    <row r="3" spans="1:3" ht="14.4" x14ac:dyDescent="0.3">
      <c r="A3" s="13" t="s">
        <v>13</v>
      </c>
      <c r="B3" s="30">
        <v>4229271</v>
      </c>
      <c r="C3" s="31">
        <v>62993</v>
      </c>
    </row>
    <row r="4" spans="1:3" ht="14.4" x14ac:dyDescent="0.3">
      <c r="A4" s="17" t="s">
        <v>16</v>
      </c>
      <c r="B4" s="32">
        <v>12425477</v>
      </c>
      <c r="C4" s="33">
        <v>371886</v>
      </c>
    </row>
    <row r="5" spans="1:3" ht="14.4" x14ac:dyDescent="0.3">
      <c r="A5" s="17" t="s">
        <v>30</v>
      </c>
      <c r="B5" s="32">
        <v>2033218</v>
      </c>
      <c r="C5" s="33">
        <v>46667</v>
      </c>
    </row>
    <row r="6" spans="1:3" ht="14.4" x14ac:dyDescent="0.3">
      <c r="A6" s="17" t="s">
        <v>22</v>
      </c>
      <c r="B6" s="32">
        <v>56611226</v>
      </c>
      <c r="C6" s="33">
        <v>2070105</v>
      </c>
    </row>
    <row r="7" spans="1:3" ht="14.4" x14ac:dyDescent="0.3">
      <c r="A7" s="17" t="s">
        <v>19</v>
      </c>
      <c r="B7" s="32">
        <v>2930077</v>
      </c>
      <c r="C7" s="33">
        <v>37591</v>
      </c>
    </row>
    <row r="8" spans="1:3" ht="15" customHeight="1" x14ac:dyDescent="0.3">
      <c r="A8" s="18" t="s">
        <v>81</v>
      </c>
      <c r="B8" s="34">
        <v>78229269</v>
      </c>
      <c r="C8" s="35">
        <v>2589242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G1" workbookViewId="0">
      <pane ySplit="1" topLeftCell="A8" activePane="bottomLeft" state="frozen"/>
      <selection pane="bottomLeft" activeCell="D2" sqref="D2"/>
    </sheetView>
  </sheetViews>
  <sheetFormatPr defaultColWidth="12.6640625" defaultRowHeight="15" customHeight="1" x14ac:dyDescent="0.3"/>
  <cols>
    <col min="1" max="1" width="12.44140625" customWidth="1"/>
    <col min="2" max="2" width="10.33203125" customWidth="1"/>
    <col min="3" max="3" width="12.33203125" customWidth="1"/>
    <col min="4" max="4" width="14.33203125" customWidth="1"/>
    <col min="5" max="5" width="14.21875" customWidth="1"/>
    <col min="6" max="6" width="9.6640625" customWidth="1"/>
    <col min="7" max="7" width="9" customWidth="1"/>
    <col min="8" max="8" width="11.6640625" customWidth="1"/>
    <col min="9" max="9" width="12.6640625" customWidth="1"/>
    <col min="10" max="10" width="26.21875" customWidth="1"/>
    <col min="11" max="11" width="18.5546875" customWidth="1"/>
    <col min="12" max="12" width="16.21875" customWidth="1"/>
    <col min="13" max="13" width="12.33203125" customWidth="1"/>
    <col min="14" max="14" width="11.6640625" customWidth="1"/>
    <col min="15" max="15" width="16.6640625" customWidth="1"/>
    <col min="16" max="26" width="8.6640625" customWidth="1"/>
    <col min="27" max="27" width="10.1093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1027</v>
      </c>
      <c r="K1" s="1" t="s">
        <v>9</v>
      </c>
      <c r="L1" s="3" t="s">
        <v>10</v>
      </c>
      <c r="M1" s="4" t="s">
        <v>3</v>
      </c>
      <c r="N1" s="4" t="s">
        <v>11</v>
      </c>
      <c r="O1" s="5" t="s">
        <v>10</v>
      </c>
    </row>
    <row r="2" spans="1:15" ht="14.25" customHeight="1" x14ac:dyDescent="0.3">
      <c r="A2" s="6" t="s">
        <v>12</v>
      </c>
      <c r="B2" s="6" t="s">
        <v>13</v>
      </c>
      <c r="C2" s="7">
        <v>45685</v>
      </c>
      <c r="D2" s="6" t="s">
        <v>14</v>
      </c>
      <c r="E2" s="8">
        <v>24500</v>
      </c>
      <c r="F2" s="8">
        <v>7733</v>
      </c>
      <c r="G2" s="8">
        <v>383</v>
      </c>
      <c r="H2" s="8">
        <v>68</v>
      </c>
      <c r="I2" s="8">
        <v>188</v>
      </c>
      <c r="J2" s="19">
        <f>(G2+H2+I2)/E2</f>
        <v>2.6081632653061224E-2</v>
      </c>
      <c r="K2" s="9">
        <v>8.26</v>
      </c>
      <c r="L2" s="10">
        <f t="shared" ref="L2:L256" si="0">(G2+H2+I2)/E2</f>
        <v>2.6081632653061224E-2</v>
      </c>
      <c r="M2" s="11" t="s">
        <v>14</v>
      </c>
      <c r="N2" s="11">
        <f t="shared" ref="N2:N6" si="1">SUMIF(D:D,M2,I:I)</f>
        <v>13094</v>
      </c>
      <c r="O2" s="6">
        <f t="shared" ref="O2:O6" si="2">(G2+H2+I2)/E2</f>
        <v>2.6081632653061224E-2</v>
      </c>
    </row>
    <row r="3" spans="1:15" ht="14.25" customHeight="1" x14ac:dyDescent="0.3">
      <c r="A3" s="6" t="s">
        <v>15</v>
      </c>
      <c r="B3" s="6" t="s">
        <v>16</v>
      </c>
      <c r="C3" s="7">
        <v>45959</v>
      </c>
      <c r="D3" s="6" t="s">
        <v>17</v>
      </c>
      <c r="E3" s="8">
        <v>23105</v>
      </c>
      <c r="F3" s="8">
        <v>11753</v>
      </c>
      <c r="G3" s="8">
        <v>298</v>
      </c>
      <c r="H3" s="8">
        <v>61</v>
      </c>
      <c r="I3" s="8">
        <v>69</v>
      </c>
      <c r="J3" s="19">
        <f>(G3+H3+I3)/E3</f>
        <v>1.8524128976412032E-2</v>
      </c>
      <c r="K3" s="9">
        <v>3.64</v>
      </c>
      <c r="L3" s="10">
        <f t="shared" si="0"/>
        <v>1.8524128976412032E-2</v>
      </c>
      <c r="M3" s="11" t="s">
        <v>17</v>
      </c>
      <c r="N3" s="11">
        <f t="shared" si="1"/>
        <v>18617</v>
      </c>
      <c r="O3" s="6">
        <f t="shared" si="2"/>
        <v>1.8524128976412032E-2</v>
      </c>
    </row>
    <row r="4" spans="1:15" ht="14.25" customHeight="1" x14ac:dyDescent="0.3">
      <c r="A4" s="6" t="s">
        <v>18</v>
      </c>
      <c r="B4" s="6" t="s">
        <v>19</v>
      </c>
      <c r="C4" s="7">
        <v>45433</v>
      </c>
      <c r="D4" s="6" t="s">
        <v>20</v>
      </c>
      <c r="E4" s="8">
        <v>24700</v>
      </c>
      <c r="F4" s="8">
        <v>14185</v>
      </c>
      <c r="G4" s="8">
        <v>168</v>
      </c>
      <c r="H4" s="8">
        <v>54</v>
      </c>
      <c r="I4" s="8">
        <v>238</v>
      </c>
      <c r="J4" s="19">
        <f t="shared" ref="J4:J66" si="3">(G4+H4+I4)/E4</f>
        <v>1.862348178137652E-2</v>
      </c>
      <c r="K4" s="9">
        <v>3.24</v>
      </c>
      <c r="L4" s="10">
        <f t="shared" si="0"/>
        <v>1.862348178137652E-2</v>
      </c>
      <c r="M4" s="11" t="s">
        <v>20</v>
      </c>
      <c r="N4" s="11">
        <f t="shared" si="1"/>
        <v>440197</v>
      </c>
      <c r="O4" s="6">
        <f t="shared" si="2"/>
        <v>1.862348178137652E-2</v>
      </c>
    </row>
    <row r="5" spans="1:15" ht="14.25" customHeight="1" x14ac:dyDescent="0.3">
      <c r="A5" s="6" t="s">
        <v>21</v>
      </c>
      <c r="B5" s="6" t="s">
        <v>22</v>
      </c>
      <c r="C5" s="7">
        <v>45835</v>
      </c>
      <c r="D5" s="6" t="s">
        <v>20</v>
      </c>
      <c r="E5" s="8">
        <v>400879</v>
      </c>
      <c r="F5" s="8">
        <v>188271</v>
      </c>
      <c r="G5" s="8">
        <v>5974</v>
      </c>
      <c r="H5" s="8">
        <v>2084</v>
      </c>
      <c r="I5" s="8">
        <v>6006</v>
      </c>
      <c r="J5" s="19">
        <f t="shared" si="3"/>
        <v>3.5082905315569034E-2</v>
      </c>
      <c r="K5" s="9">
        <v>7.47</v>
      </c>
      <c r="L5" s="10">
        <f t="shared" si="0"/>
        <v>3.5082905315569034E-2</v>
      </c>
      <c r="M5" s="11" t="s">
        <v>23</v>
      </c>
      <c r="N5" s="11">
        <f t="shared" si="1"/>
        <v>444520</v>
      </c>
      <c r="O5" s="6">
        <f t="shared" si="2"/>
        <v>3.5082905315569034E-2</v>
      </c>
    </row>
    <row r="6" spans="1:15" ht="14.25" customHeight="1" x14ac:dyDescent="0.3">
      <c r="A6" s="6" t="s">
        <v>24</v>
      </c>
      <c r="B6" s="6" t="s">
        <v>16</v>
      </c>
      <c r="C6" s="7">
        <v>45397</v>
      </c>
      <c r="D6" s="6" t="s">
        <v>20</v>
      </c>
      <c r="E6" s="8">
        <v>13259</v>
      </c>
      <c r="F6" s="8">
        <v>5637</v>
      </c>
      <c r="G6" s="8">
        <v>352</v>
      </c>
      <c r="H6" s="8">
        <v>61</v>
      </c>
      <c r="I6" s="8">
        <v>8</v>
      </c>
      <c r="J6" s="19">
        <f t="shared" si="3"/>
        <v>3.1752017497548836E-2</v>
      </c>
      <c r="K6" s="9">
        <v>7.47</v>
      </c>
      <c r="L6" s="10">
        <f t="shared" si="0"/>
        <v>3.1752017497548836E-2</v>
      </c>
      <c r="M6" s="11" t="s">
        <v>25</v>
      </c>
      <c r="N6" s="11">
        <f t="shared" si="1"/>
        <v>25182</v>
      </c>
      <c r="O6" s="6">
        <f t="shared" si="2"/>
        <v>3.1752017497548836E-2</v>
      </c>
    </row>
    <row r="7" spans="1:15" ht="14.25" customHeight="1" x14ac:dyDescent="0.3">
      <c r="A7" s="6" t="s">
        <v>26</v>
      </c>
      <c r="B7" s="6" t="s">
        <v>16</v>
      </c>
      <c r="C7" s="7">
        <v>45372</v>
      </c>
      <c r="D7" s="6" t="s">
        <v>17</v>
      </c>
      <c r="E7" s="8">
        <v>6469</v>
      </c>
      <c r="F7" s="8">
        <v>3790</v>
      </c>
      <c r="G7" s="8">
        <v>205</v>
      </c>
      <c r="H7" s="8">
        <v>10</v>
      </c>
      <c r="I7" s="8">
        <v>13</v>
      </c>
      <c r="J7" s="19">
        <f t="shared" si="3"/>
        <v>3.5245014685422786E-2</v>
      </c>
      <c r="K7" s="9">
        <v>6.02</v>
      </c>
      <c r="L7" s="10">
        <f t="shared" si="0"/>
        <v>3.5245014685422786E-2</v>
      </c>
      <c r="M7" s="11"/>
      <c r="N7" s="11"/>
    </row>
    <row r="8" spans="1:15" ht="14.25" customHeight="1" x14ac:dyDescent="0.3">
      <c r="A8" s="6" t="s">
        <v>27</v>
      </c>
      <c r="B8" s="6" t="s">
        <v>16</v>
      </c>
      <c r="C8" s="7">
        <v>45895</v>
      </c>
      <c r="D8" s="5" t="s">
        <v>23</v>
      </c>
      <c r="E8" s="8">
        <v>35618</v>
      </c>
      <c r="F8" s="8">
        <v>19926</v>
      </c>
      <c r="G8" s="8">
        <v>667</v>
      </c>
      <c r="H8" s="8">
        <v>236</v>
      </c>
      <c r="I8" s="8">
        <v>182</v>
      </c>
      <c r="J8" s="19">
        <f t="shared" si="3"/>
        <v>3.0462125891403222E-2</v>
      </c>
      <c r="K8" s="9">
        <v>5.45</v>
      </c>
      <c r="L8" s="10">
        <f t="shared" si="0"/>
        <v>3.0462125891403222E-2</v>
      </c>
      <c r="M8" s="4" t="s">
        <v>28</v>
      </c>
      <c r="N8" s="11" t="str">
        <f t="array" ref="N8">INDEX(M2:M6,MATCH(MAX(N2:N6),N2:N6,0))</f>
        <v>Reel</v>
      </c>
    </row>
    <row r="9" spans="1:15" ht="14.25" customHeight="1" x14ac:dyDescent="0.3">
      <c r="A9" s="6" t="s">
        <v>29</v>
      </c>
      <c r="B9" s="6" t="s">
        <v>30</v>
      </c>
      <c r="C9" s="7">
        <v>45477</v>
      </c>
      <c r="D9" s="6" t="s">
        <v>14</v>
      </c>
      <c r="E9" s="8">
        <v>9468</v>
      </c>
      <c r="F9" s="8">
        <v>4910</v>
      </c>
      <c r="G9" s="8">
        <v>173</v>
      </c>
      <c r="H9" s="8">
        <v>67</v>
      </c>
      <c r="I9" s="8">
        <v>20</v>
      </c>
      <c r="J9" s="19">
        <f t="shared" si="3"/>
        <v>2.746092099704267E-2</v>
      </c>
      <c r="K9" s="9">
        <v>5.3</v>
      </c>
      <c r="L9" s="10">
        <f t="shared" si="0"/>
        <v>2.746092099704267E-2</v>
      </c>
      <c r="M9" s="4"/>
      <c r="N9" s="4"/>
    </row>
    <row r="10" spans="1:15" ht="14.25" customHeight="1" x14ac:dyDescent="0.3">
      <c r="A10" s="6" t="s">
        <v>31</v>
      </c>
      <c r="B10" s="6" t="s">
        <v>16</v>
      </c>
      <c r="C10" s="7">
        <v>45320</v>
      </c>
      <c r="D10" s="6" t="s">
        <v>23</v>
      </c>
      <c r="E10" s="8">
        <v>99396</v>
      </c>
      <c r="F10" s="8">
        <v>75092</v>
      </c>
      <c r="G10" s="8">
        <v>5314</v>
      </c>
      <c r="H10" s="8">
        <v>887</v>
      </c>
      <c r="I10" s="8">
        <v>706</v>
      </c>
      <c r="J10" s="19">
        <f t="shared" si="3"/>
        <v>6.9489717896092401E-2</v>
      </c>
      <c r="K10" s="9">
        <v>9.1999999999999993</v>
      </c>
      <c r="L10" s="10">
        <f t="shared" si="0"/>
        <v>6.9489717896092401E-2</v>
      </c>
      <c r="M10" s="12"/>
    </row>
    <row r="11" spans="1:15" ht="14.25" customHeight="1" x14ac:dyDescent="0.3">
      <c r="A11" s="6" t="s">
        <v>32</v>
      </c>
      <c r="B11" s="6" t="s">
        <v>22</v>
      </c>
      <c r="C11" s="7">
        <v>45550</v>
      </c>
      <c r="D11" s="6" t="s">
        <v>23</v>
      </c>
      <c r="E11" s="8">
        <v>27570</v>
      </c>
      <c r="F11" s="8">
        <v>16102</v>
      </c>
      <c r="G11" s="8">
        <v>1791</v>
      </c>
      <c r="H11" s="8">
        <v>337</v>
      </c>
      <c r="I11" s="8">
        <v>297</v>
      </c>
      <c r="J11" s="19">
        <f t="shared" si="3"/>
        <v>8.7957925281102647E-2</v>
      </c>
      <c r="K11" s="9">
        <v>15.06</v>
      </c>
      <c r="L11" s="10">
        <f t="shared" si="0"/>
        <v>8.7957925281102647E-2</v>
      </c>
    </row>
    <row r="12" spans="1:15" ht="14.25" customHeight="1" x14ac:dyDescent="0.3">
      <c r="A12" s="6" t="s">
        <v>33</v>
      </c>
      <c r="B12" s="6" t="s">
        <v>13</v>
      </c>
      <c r="C12" s="7">
        <v>45530</v>
      </c>
      <c r="D12" s="6" t="s">
        <v>20</v>
      </c>
      <c r="E12" s="8">
        <v>49204</v>
      </c>
      <c r="F12" s="8">
        <v>23651</v>
      </c>
      <c r="G12" s="8">
        <v>804</v>
      </c>
      <c r="H12" s="8">
        <v>381</v>
      </c>
      <c r="I12" s="8">
        <v>677</v>
      </c>
      <c r="J12" s="19">
        <f t="shared" si="3"/>
        <v>3.7842451833184292E-2</v>
      </c>
      <c r="K12" s="9">
        <v>7.87</v>
      </c>
      <c r="L12" s="10">
        <f t="shared" si="0"/>
        <v>3.7842451833184292E-2</v>
      </c>
    </row>
    <row r="13" spans="1:15" ht="14.25" customHeight="1" x14ac:dyDescent="0.3">
      <c r="A13" s="6" t="s">
        <v>34</v>
      </c>
      <c r="B13" s="6" t="s">
        <v>22</v>
      </c>
      <c r="C13" s="7">
        <v>45330</v>
      </c>
      <c r="D13" s="6" t="s">
        <v>20</v>
      </c>
      <c r="E13" s="8">
        <v>491623</v>
      </c>
      <c r="F13" s="8">
        <v>208356</v>
      </c>
      <c r="G13" s="8">
        <v>20614</v>
      </c>
      <c r="H13" s="8">
        <v>3190</v>
      </c>
      <c r="I13" s="8">
        <v>7463</v>
      </c>
      <c r="J13" s="19">
        <f t="shared" si="3"/>
        <v>6.359954680720796E-2</v>
      </c>
      <c r="K13" s="9">
        <v>15.01</v>
      </c>
      <c r="L13" s="10">
        <f t="shared" si="0"/>
        <v>6.359954680720796E-2</v>
      </c>
    </row>
    <row r="14" spans="1:15" ht="14.25" customHeight="1" x14ac:dyDescent="0.3">
      <c r="A14" s="6" t="s">
        <v>35</v>
      </c>
      <c r="B14" s="6" t="s">
        <v>16</v>
      </c>
      <c r="C14" s="7">
        <v>45411</v>
      </c>
      <c r="D14" s="5" t="s">
        <v>25</v>
      </c>
      <c r="E14" s="8">
        <v>64155</v>
      </c>
      <c r="F14" s="8">
        <v>29632</v>
      </c>
      <c r="G14" s="8">
        <v>1109</v>
      </c>
      <c r="H14" s="8">
        <v>285</v>
      </c>
      <c r="I14" s="8">
        <v>145</v>
      </c>
      <c r="J14" s="19">
        <f t="shared" si="3"/>
        <v>2.3988777180266541E-2</v>
      </c>
      <c r="K14" s="9">
        <v>5.19</v>
      </c>
      <c r="L14" s="10">
        <f t="shared" si="0"/>
        <v>2.3988777180266541E-2</v>
      </c>
    </row>
    <row r="15" spans="1:15" ht="14.25" customHeight="1" x14ac:dyDescent="0.3">
      <c r="A15" s="6" t="s">
        <v>36</v>
      </c>
      <c r="B15" s="6" t="s">
        <v>16</v>
      </c>
      <c r="C15" s="7">
        <v>45633</v>
      </c>
      <c r="D15" s="6" t="s">
        <v>25</v>
      </c>
      <c r="E15" s="8">
        <v>28492</v>
      </c>
      <c r="F15" s="8">
        <v>15059</v>
      </c>
      <c r="G15" s="8">
        <v>332</v>
      </c>
      <c r="H15" s="8">
        <v>141</v>
      </c>
      <c r="I15" s="8">
        <v>89</v>
      </c>
      <c r="J15" s="19">
        <f t="shared" si="3"/>
        <v>1.9724835041415135E-2</v>
      </c>
      <c r="K15" s="9">
        <v>3.73</v>
      </c>
      <c r="L15" s="10">
        <f t="shared" si="0"/>
        <v>1.9724835041415135E-2</v>
      </c>
    </row>
    <row r="16" spans="1:15" ht="14.25" customHeight="1" x14ac:dyDescent="0.3">
      <c r="A16" s="6" t="s">
        <v>37</v>
      </c>
      <c r="B16" s="6" t="s">
        <v>16</v>
      </c>
      <c r="C16" s="7">
        <v>45546</v>
      </c>
      <c r="D16" s="6" t="s">
        <v>20</v>
      </c>
      <c r="E16" s="8">
        <v>10536</v>
      </c>
      <c r="F16" s="8">
        <v>6800</v>
      </c>
      <c r="G16" s="8">
        <v>151</v>
      </c>
      <c r="H16" s="8">
        <v>35</v>
      </c>
      <c r="I16" s="8">
        <v>32</v>
      </c>
      <c r="J16" s="19">
        <f t="shared" si="3"/>
        <v>2.0690964312832193E-2</v>
      </c>
      <c r="K16" s="9">
        <v>3.21</v>
      </c>
      <c r="L16" s="10">
        <f t="shared" si="0"/>
        <v>2.0690964312832193E-2</v>
      </c>
    </row>
    <row r="17" spans="1:12" ht="14.25" customHeight="1" x14ac:dyDescent="0.3">
      <c r="A17" s="6" t="s">
        <v>38</v>
      </c>
      <c r="B17" s="6" t="s">
        <v>30</v>
      </c>
      <c r="C17" s="7">
        <v>46013</v>
      </c>
      <c r="D17" s="6" t="s">
        <v>14</v>
      </c>
      <c r="E17" s="8">
        <v>18688</v>
      </c>
      <c r="F17" s="8">
        <v>11271</v>
      </c>
      <c r="G17" s="8">
        <v>652</v>
      </c>
      <c r="H17" s="8">
        <v>106</v>
      </c>
      <c r="I17" s="8">
        <v>143</v>
      </c>
      <c r="J17" s="19">
        <f t="shared" si="3"/>
        <v>4.8212756849315065E-2</v>
      </c>
      <c r="K17" s="9">
        <v>7.99</v>
      </c>
      <c r="L17" s="10">
        <f t="shared" si="0"/>
        <v>4.8212756849315065E-2</v>
      </c>
    </row>
    <row r="18" spans="1:12" ht="14.25" customHeight="1" x14ac:dyDescent="0.3">
      <c r="A18" s="6" t="s">
        <v>39</v>
      </c>
      <c r="B18" s="6" t="s">
        <v>13</v>
      </c>
      <c r="C18" s="7">
        <v>45376</v>
      </c>
      <c r="D18" s="6" t="s">
        <v>25</v>
      </c>
      <c r="E18" s="8">
        <v>21204</v>
      </c>
      <c r="F18" s="8">
        <v>13712</v>
      </c>
      <c r="G18" s="8">
        <v>177</v>
      </c>
      <c r="H18" s="8">
        <v>179</v>
      </c>
      <c r="I18" s="8">
        <v>269</v>
      </c>
      <c r="J18" s="19">
        <f t="shared" si="3"/>
        <v>2.9475570647047727E-2</v>
      </c>
      <c r="K18" s="9">
        <v>4.5599999999999996</v>
      </c>
      <c r="L18" s="10">
        <f t="shared" si="0"/>
        <v>2.9475570647047727E-2</v>
      </c>
    </row>
    <row r="19" spans="1:12" ht="14.25" customHeight="1" x14ac:dyDescent="0.3">
      <c r="A19" s="6" t="s">
        <v>40</v>
      </c>
      <c r="B19" s="6" t="s">
        <v>16</v>
      </c>
      <c r="C19" s="7">
        <v>45918</v>
      </c>
      <c r="D19" s="6" t="s">
        <v>17</v>
      </c>
      <c r="E19" s="8">
        <v>28864</v>
      </c>
      <c r="F19" s="8">
        <v>14737</v>
      </c>
      <c r="G19" s="8">
        <v>703</v>
      </c>
      <c r="H19" s="8">
        <v>146</v>
      </c>
      <c r="I19" s="8">
        <v>68</v>
      </c>
      <c r="J19" s="19">
        <f t="shared" si="3"/>
        <v>3.1769678492239467E-2</v>
      </c>
      <c r="K19" s="9">
        <v>6.22</v>
      </c>
      <c r="L19" s="10">
        <f t="shared" si="0"/>
        <v>3.1769678492239467E-2</v>
      </c>
    </row>
    <row r="20" spans="1:12" ht="14.25" customHeight="1" x14ac:dyDescent="0.3">
      <c r="A20" s="6" t="s">
        <v>41</v>
      </c>
      <c r="B20" s="6" t="s">
        <v>16</v>
      </c>
      <c r="C20" s="7">
        <v>45511</v>
      </c>
      <c r="D20" s="6" t="s">
        <v>17</v>
      </c>
      <c r="E20" s="8">
        <v>46840</v>
      </c>
      <c r="F20" s="8">
        <v>31199</v>
      </c>
      <c r="G20" s="8">
        <v>1992</v>
      </c>
      <c r="H20" s="8">
        <v>297</v>
      </c>
      <c r="I20" s="8">
        <v>285</v>
      </c>
      <c r="J20" s="19">
        <f t="shared" si="3"/>
        <v>5.4953031596925703E-2</v>
      </c>
      <c r="K20" s="9">
        <v>8.25</v>
      </c>
      <c r="L20" s="10">
        <f t="shared" si="0"/>
        <v>5.4953031596925703E-2</v>
      </c>
    </row>
    <row r="21" spans="1:12" ht="14.25" customHeight="1" x14ac:dyDescent="0.3">
      <c r="A21" s="6" t="s">
        <v>42</v>
      </c>
      <c r="B21" s="6" t="s">
        <v>13</v>
      </c>
      <c r="C21" s="7">
        <v>45861</v>
      </c>
      <c r="D21" s="6" t="s">
        <v>14</v>
      </c>
      <c r="E21" s="8">
        <v>1778</v>
      </c>
      <c r="F21" s="8">
        <v>615</v>
      </c>
      <c r="G21" s="8">
        <v>27</v>
      </c>
      <c r="H21" s="8">
        <v>6</v>
      </c>
      <c r="I21" s="8">
        <v>9</v>
      </c>
      <c r="J21" s="19">
        <f t="shared" si="3"/>
        <v>2.3622047244094488E-2</v>
      </c>
      <c r="K21" s="9">
        <v>6.83</v>
      </c>
      <c r="L21" s="10">
        <f t="shared" si="0"/>
        <v>2.3622047244094488E-2</v>
      </c>
    </row>
    <row r="22" spans="1:12" ht="14.25" customHeight="1" x14ac:dyDescent="0.3">
      <c r="A22" s="6" t="s">
        <v>43</v>
      </c>
      <c r="B22" s="6" t="s">
        <v>22</v>
      </c>
      <c r="C22" s="7">
        <v>45770</v>
      </c>
      <c r="D22" s="6" t="s">
        <v>23</v>
      </c>
      <c r="E22" s="8">
        <v>156565</v>
      </c>
      <c r="F22" s="8">
        <v>91504</v>
      </c>
      <c r="G22" s="8">
        <v>7976</v>
      </c>
      <c r="H22" s="8">
        <v>1007</v>
      </c>
      <c r="I22" s="8">
        <v>2374</v>
      </c>
      <c r="J22" s="19">
        <f t="shared" si="3"/>
        <v>7.2538562258486886E-2</v>
      </c>
      <c r="K22" s="9">
        <v>12.41</v>
      </c>
      <c r="L22" s="10">
        <f t="shared" si="0"/>
        <v>7.2538562258486886E-2</v>
      </c>
    </row>
    <row r="23" spans="1:12" ht="14.25" customHeight="1" x14ac:dyDescent="0.3">
      <c r="A23" s="6" t="s">
        <v>44</v>
      </c>
      <c r="B23" s="6" t="s">
        <v>13</v>
      </c>
      <c r="C23" s="7">
        <v>45534</v>
      </c>
      <c r="D23" s="6" t="s">
        <v>25</v>
      </c>
      <c r="E23" s="8">
        <v>24262</v>
      </c>
      <c r="F23" s="8">
        <v>14375</v>
      </c>
      <c r="G23" s="8">
        <v>505</v>
      </c>
      <c r="H23" s="8">
        <v>155</v>
      </c>
      <c r="I23" s="8">
        <v>275</v>
      </c>
      <c r="J23" s="19">
        <f t="shared" si="3"/>
        <v>3.8537630863078064E-2</v>
      </c>
      <c r="K23" s="9">
        <v>6.5</v>
      </c>
      <c r="L23" s="10">
        <f t="shared" si="0"/>
        <v>3.8537630863078064E-2</v>
      </c>
    </row>
    <row r="24" spans="1:12" ht="14.25" customHeight="1" x14ac:dyDescent="0.3">
      <c r="A24" s="6" t="s">
        <v>45</v>
      </c>
      <c r="B24" s="6" t="s">
        <v>30</v>
      </c>
      <c r="C24" s="7">
        <v>45968</v>
      </c>
      <c r="D24" s="6" t="s">
        <v>14</v>
      </c>
      <c r="E24" s="8">
        <v>6057</v>
      </c>
      <c r="F24" s="8">
        <v>4215</v>
      </c>
      <c r="G24" s="8">
        <v>74</v>
      </c>
      <c r="H24" s="8">
        <v>65</v>
      </c>
      <c r="I24" s="8">
        <v>43</v>
      </c>
      <c r="J24" s="19">
        <f t="shared" si="3"/>
        <v>3.0047878487700182E-2</v>
      </c>
      <c r="K24" s="9">
        <v>4.32</v>
      </c>
      <c r="L24" s="10">
        <f t="shared" si="0"/>
        <v>3.0047878487700182E-2</v>
      </c>
    </row>
    <row r="25" spans="1:12" ht="14.25" customHeight="1" x14ac:dyDescent="0.3">
      <c r="A25" s="6" t="s">
        <v>46</v>
      </c>
      <c r="B25" s="6" t="s">
        <v>13</v>
      </c>
      <c r="C25" s="7">
        <v>45976</v>
      </c>
      <c r="D25" s="6" t="s">
        <v>14</v>
      </c>
      <c r="E25" s="8">
        <v>28124</v>
      </c>
      <c r="F25" s="8">
        <v>17131</v>
      </c>
      <c r="G25" s="8">
        <v>645</v>
      </c>
      <c r="H25" s="8">
        <v>158</v>
      </c>
      <c r="I25" s="8">
        <v>506</v>
      </c>
      <c r="J25" s="19">
        <f t="shared" si="3"/>
        <v>4.654387711563078E-2</v>
      </c>
      <c r="K25" s="9">
        <v>7.64</v>
      </c>
      <c r="L25" s="10">
        <f t="shared" si="0"/>
        <v>4.654387711563078E-2</v>
      </c>
    </row>
    <row r="26" spans="1:12" ht="14.25" customHeight="1" x14ac:dyDescent="0.3">
      <c r="A26" s="6" t="s">
        <v>47</v>
      </c>
      <c r="B26" s="6" t="s">
        <v>30</v>
      </c>
      <c r="C26" s="7">
        <v>45579</v>
      </c>
      <c r="D26" s="6" t="s">
        <v>17</v>
      </c>
      <c r="E26" s="8">
        <v>17059</v>
      </c>
      <c r="F26" s="8">
        <v>11269</v>
      </c>
      <c r="G26" s="8">
        <v>423</v>
      </c>
      <c r="H26" s="8">
        <v>68</v>
      </c>
      <c r="I26" s="8">
        <v>34</v>
      </c>
      <c r="J26" s="19">
        <f t="shared" si="3"/>
        <v>3.0775543701272057E-2</v>
      </c>
      <c r="K26" s="9">
        <v>4.66</v>
      </c>
      <c r="L26" s="10">
        <f t="shared" si="0"/>
        <v>3.0775543701272057E-2</v>
      </c>
    </row>
    <row r="27" spans="1:12" ht="14.25" customHeight="1" x14ac:dyDescent="0.3">
      <c r="A27" s="6" t="s">
        <v>48</v>
      </c>
      <c r="B27" s="6" t="s">
        <v>19</v>
      </c>
      <c r="C27" s="7">
        <v>45909</v>
      </c>
      <c r="D27" s="6" t="s">
        <v>14</v>
      </c>
      <c r="E27" s="8">
        <v>5218</v>
      </c>
      <c r="F27" s="8">
        <v>3851</v>
      </c>
      <c r="G27" s="8">
        <v>42</v>
      </c>
      <c r="H27" s="8">
        <v>14</v>
      </c>
      <c r="I27" s="8">
        <v>46</v>
      </c>
      <c r="J27" s="19">
        <f t="shared" si="3"/>
        <v>1.9547719432732848E-2</v>
      </c>
      <c r="K27" s="9">
        <v>2.65</v>
      </c>
      <c r="L27" s="10">
        <f t="shared" si="0"/>
        <v>1.9547719432732848E-2</v>
      </c>
    </row>
    <row r="28" spans="1:12" ht="14.25" customHeight="1" x14ac:dyDescent="0.3">
      <c r="A28" s="6" t="s">
        <v>49</v>
      </c>
      <c r="B28" s="6" t="s">
        <v>22</v>
      </c>
      <c r="C28" s="7">
        <v>45311</v>
      </c>
      <c r="D28" s="6" t="s">
        <v>23</v>
      </c>
      <c r="E28" s="8">
        <v>343265</v>
      </c>
      <c r="F28" s="8">
        <v>129653</v>
      </c>
      <c r="G28" s="8">
        <v>5453</v>
      </c>
      <c r="H28" s="8">
        <v>924</v>
      </c>
      <c r="I28" s="8">
        <v>4580</v>
      </c>
      <c r="J28" s="19">
        <f t="shared" si="3"/>
        <v>3.1919945231817987E-2</v>
      </c>
      <c r="K28" s="9">
        <v>8.4499999999999993</v>
      </c>
      <c r="L28" s="10">
        <f t="shared" si="0"/>
        <v>3.1919945231817987E-2</v>
      </c>
    </row>
    <row r="29" spans="1:12" ht="14.25" customHeight="1" x14ac:dyDescent="0.3">
      <c r="A29" s="6" t="s">
        <v>50</v>
      </c>
      <c r="B29" s="6" t="s">
        <v>22</v>
      </c>
      <c r="C29" s="7">
        <v>45311</v>
      </c>
      <c r="D29" s="6" t="s">
        <v>20</v>
      </c>
      <c r="E29" s="8">
        <v>272700</v>
      </c>
      <c r="F29" s="8">
        <v>129585</v>
      </c>
      <c r="G29" s="8">
        <v>15140</v>
      </c>
      <c r="H29" s="8">
        <v>1162</v>
      </c>
      <c r="I29" s="8">
        <v>5661</v>
      </c>
      <c r="J29" s="19">
        <f t="shared" si="3"/>
        <v>8.053905390539054E-2</v>
      </c>
      <c r="K29" s="9">
        <v>16.95</v>
      </c>
      <c r="L29" s="10">
        <f t="shared" si="0"/>
        <v>8.053905390539054E-2</v>
      </c>
    </row>
    <row r="30" spans="1:12" ht="14.25" customHeight="1" x14ac:dyDescent="0.3">
      <c r="A30" s="6" t="s">
        <v>51</v>
      </c>
      <c r="B30" s="6" t="s">
        <v>16</v>
      </c>
      <c r="C30" s="7">
        <v>45856</v>
      </c>
      <c r="D30" s="6" t="s">
        <v>17</v>
      </c>
      <c r="E30" s="8">
        <v>3041</v>
      </c>
      <c r="F30" s="8">
        <v>1504</v>
      </c>
      <c r="G30" s="8">
        <v>44</v>
      </c>
      <c r="H30" s="8">
        <v>5</v>
      </c>
      <c r="I30" s="8">
        <v>5</v>
      </c>
      <c r="J30" s="19">
        <f t="shared" si="3"/>
        <v>1.7757316672147319E-2</v>
      </c>
      <c r="K30" s="9">
        <v>3.59</v>
      </c>
      <c r="L30" s="10">
        <f t="shared" si="0"/>
        <v>1.7757316672147319E-2</v>
      </c>
    </row>
    <row r="31" spans="1:12" ht="14.25" customHeight="1" x14ac:dyDescent="0.3">
      <c r="A31" s="6" t="s">
        <v>52</v>
      </c>
      <c r="B31" s="6" t="s">
        <v>22</v>
      </c>
      <c r="C31" s="7">
        <v>45600</v>
      </c>
      <c r="D31" s="6" t="s">
        <v>20</v>
      </c>
      <c r="E31" s="8">
        <v>458030</v>
      </c>
      <c r="F31" s="8">
        <v>177152</v>
      </c>
      <c r="G31" s="8">
        <v>5638</v>
      </c>
      <c r="H31" s="8">
        <v>1481</v>
      </c>
      <c r="I31" s="8">
        <v>8257</v>
      </c>
      <c r="J31" s="19">
        <f t="shared" si="3"/>
        <v>3.356985350304565E-2</v>
      </c>
      <c r="K31" s="9">
        <v>8.68</v>
      </c>
      <c r="L31" s="10">
        <f t="shared" si="0"/>
        <v>3.356985350304565E-2</v>
      </c>
    </row>
    <row r="32" spans="1:12" ht="14.25" customHeight="1" x14ac:dyDescent="0.3">
      <c r="A32" s="6" t="s">
        <v>53</v>
      </c>
      <c r="B32" s="6" t="s">
        <v>16</v>
      </c>
      <c r="C32" s="7">
        <v>45925</v>
      </c>
      <c r="D32" s="6" t="s">
        <v>17</v>
      </c>
      <c r="E32" s="8">
        <v>35777</v>
      </c>
      <c r="F32" s="8">
        <v>21884</v>
      </c>
      <c r="G32" s="8">
        <v>534</v>
      </c>
      <c r="H32" s="8">
        <v>93</v>
      </c>
      <c r="I32" s="8">
        <v>46</v>
      </c>
      <c r="J32" s="19">
        <f t="shared" si="3"/>
        <v>1.8810967940296838E-2</v>
      </c>
      <c r="K32" s="9">
        <v>3.08</v>
      </c>
      <c r="L32" s="10">
        <f t="shared" si="0"/>
        <v>1.8810967940296838E-2</v>
      </c>
    </row>
    <row r="33" spans="1:12" ht="14.25" customHeight="1" x14ac:dyDescent="0.3">
      <c r="A33" s="6" t="s">
        <v>54</v>
      </c>
      <c r="B33" s="6" t="s">
        <v>13</v>
      </c>
      <c r="C33" s="7">
        <v>45839</v>
      </c>
      <c r="D33" s="6" t="s">
        <v>14</v>
      </c>
      <c r="E33" s="8">
        <v>15233</v>
      </c>
      <c r="F33" s="8">
        <v>10461</v>
      </c>
      <c r="G33" s="8">
        <v>106</v>
      </c>
      <c r="H33" s="8">
        <v>82</v>
      </c>
      <c r="I33" s="8">
        <v>289</v>
      </c>
      <c r="J33" s="19">
        <f t="shared" si="3"/>
        <v>3.1313595483489789E-2</v>
      </c>
      <c r="K33" s="9">
        <v>4.5599999999999996</v>
      </c>
      <c r="L33" s="10">
        <f t="shared" si="0"/>
        <v>3.1313595483489789E-2</v>
      </c>
    </row>
    <row r="34" spans="1:12" ht="14.25" customHeight="1" x14ac:dyDescent="0.3">
      <c r="A34" s="6" t="s">
        <v>55</v>
      </c>
      <c r="B34" s="6" t="s">
        <v>13</v>
      </c>
      <c r="C34" s="7">
        <v>45606</v>
      </c>
      <c r="D34" s="6" t="s">
        <v>20</v>
      </c>
      <c r="E34" s="8">
        <v>47861</v>
      </c>
      <c r="F34" s="8">
        <v>33077</v>
      </c>
      <c r="G34" s="8">
        <v>457</v>
      </c>
      <c r="H34" s="8">
        <v>612</v>
      </c>
      <c r="I34" s="8">
        <v>666</v>
      </c>
      <c r="J34" s="19">
        <f t="shared" si="3"/>
        <v>3.6250809636238272E-2</v>
      </c>
      <c r="K34" s="9">
        <v>5.25</v>
      </c>
      <c r="L34" s="10">
        <f t="shared" si="0"/>
        <v>3.6250809636238272E-2</v>
      </c>
    </row>
    <row r="35" spans="1:12" ht="14.25" customHeight="1" x14ac:dyDescent="0.3">
      <c r="A35" s="6" t="s">
        <v>56</v>
      </c>
      <c r="B35" s="6" t="s">
        <v>30</v>
      </c>
      <c r="C35" s="7">
        <v>45642</v>
      </c>
      <c r="D35" s="6" t="s">
        <v>20</v>
      </c>
      <c r="E35" s="8">
        <v>31340</v>
      </c>
      <c r="F35" s="8">
        <v>20034</v>
      </c>
      <c r="G35" s="8">
        <v>370</v>
      </c>
      <c r="H35" s="8">
        <v>402</v>
      </c>
      <c r="I35" s="8">
        <v>184</v>
      </c>
      <c r="J35" s="19">
        <f t="shared" si="3"/>
        <v>3.0504148053605615E-2</v>
      </c>
      <c r="K35" s="9">
        <v>4.7699999999999996</v>
      </c>
      <c r="L35" s="10">
        <f t="shared" si="0"/>
        <v>3.0504148053605615E-2</v>
      </c>
    </row>
    <row r="36" spans="1:12" ht="14.25" customHeight="1" x14ac:dyDescent="0.3">
      <c r="A36" s="6" t="s">
        <v>57</v>
      </c>
      <c r="B36" s="6" t="s">
        <v>16</v>
      </c>
      <c r="C36" s="7">
        <v>46013</v>
      </c>
      <c r="D36" s="6" t="s">
        <v>17</v>
      </c>
      <c r="E36" s="8">
        <v>39118</v>
      </c>
      <c r="F36" s="8">
        <v>25411</v>
      </c>
      <c r="G36" s="8">
        <v>830</v>
      </c>
      <c r="H36" s="8">
        <v>287</v>
      </c>
      <c r="I36" s="8">
        <v>240</v>
      </c>
      <c r="J36" s="19">
        <f t="shared" si="3"/>
        <v>3.4689912572217395E-2</v>
      </c>
      <c r="K36" s="9">
        <v>5.34</v>
      </c>
      <c r="L36" s="10">
        <f t="shared" si="0"/>
        <v>3.4689912572217395E-2</v>
      </c>
    </row>
    <row r="37" spans="1:12" ht="14.25" customHeight="1" x14ac:dyDescent="0.3">
      <c r="A37" s="6" t="s">
        <v>58</v>
      </c>
      <c r="B37" s="6" t="s">
        <v>22</v>
      </c>
      <c r="C37" s="7">
        <v>45760</v>
      </c>
      <c r="D37" s="6" t="s">
        <v>23</v>
      </c>
      <c r="E37" s="8">
        <v>24021</v>
      </c>
      <c r="F37" s="8">
        <v>8915</v>
      </c>
      <c r="G37" s="8">
        <v>1051</v>
      </c>
      <c r="H37" s="8">
        <v>243</v>
      </c>
      <c r="I37" s="8">
        <v>176</v>
      </c>
      <c r="J37" s="19">
        <f t="shared" si="3"/>
        <v>6.1196453103534408E-2</v>
      </c>
      <c r="K37" s="9">
        <v>16.489999999999998</v>
      </c>
      <c r="L37" s="10">
        <f t="shared" si="0"/>
        <v>6.1196453103534408E-2</v>
      </c>
    </row>
    <row r="38" spans="1:12" ht="14.25" customHeight="1" x14ac:dyDescent="0.3">
      <c r="A38" s="6" t="s">
        <v>59</v>
      </c>
      <c r="B38" s="6" t="s">
        <v>22</v>
      </c>
      <c r="C38" s="7">
        <v>45796</v>
      </c>
      <c r="D38" s="6" t="s">
        <v>23</v>
      </c>
      <c r="E38" s="8">
        <v>366792</v>
      </c>
      <c r="F38" s="8">
        <v>130891</v>
      </c>
      <c r="G38" s="8">
        <v>14527</v>
      </c>
      <c r="H38" s="8">
        <v>2483</v>
      </c>
      <c r="I38" s="8">
        <v>3148</v>
      </c>
      <c r="J38" s="19">
        <f t="shared" si="3"/>
        <v>5.495757813692774E-2</v>
      </c>
      <c r="K38" s="9">
        <v>15.4</v>
      </c>
      <c r="L38" s="10">
        <f t="shared" si="0"/>
        <v>5.495757813692774E-2</v>
      </c>
    </row>
    <row r="39" spans="1:12" ht="14.25" customHeight="1" x14ac:dyDescent="0.3">
      <c r="A39" s="6" t="s">
        <v>60</v>
      </c>
      <c r="B39" s="6" t="s">
        <v>22</v>
      </c>
      <c r="C39" s="7">
        <v>45563</v>
      </c>
      <c r="D39" s="6" t="s">
        <v>20</v>
      </c>
      <c r="E39" s="8">
        <v>326182</v>
      </c>
      <c r="F39" s="8">
        <v>168420</v>
      </c>
      <c r="G39" s="8">
        <v>17736</v>
      </c>
      <c r="H39" s="8">
        <v>4345</v>
      </c>
      <c r="I39" s="8">
        <v>7499</v>
      </c>
      <c r="J39" s="19">
        <f t="shared" si="3"/>
        <v>9.068556817972788E-2</v>
      </c>
      <c r="K39" s="9">
        <v>17.559999999999999</v>
      </c>
      <c r="L39" s="10">
        <f t="shared" si="0"/>
        <v>9.068556817972788E-2</v>
      </c>
    </row>
    <row r="40" spans="1:12" ht="14.25" customHeight="1" x14ac:dyDescent="0.3">
      <c r="A40" s="6" t="s">
        <v>61</v>
      </c>
      <c r="B40" s="6" t="s">
        <v>30</v>
      </c>
      <c r="C40" s="7">
        <v>45738</v>
      </c>
      <c r="D40" s="6" t="s">
        <v>25</v>
      </c>
      <c r="E40" s="8">
        <v>735</v>
      </c>
      <c r="F40" s="8">
        <v>520</v>
      </c>
      <c r="G40" s="8">
        <v>21</v>
      </c>
      <c r="H40" s="8">
        <v>3</v>
      </c>
      <c r="I40" s="8">
        <v>6</v>
      </c>
      <c r="J40" s="19">
        <f t="shared" si="3"/>
        <v>4.0816326530612242E-2</v>
      </c>
      <c r="K40" s="9">
        <v>5.77</v>
      </c>
      <c r="L40" s="10">
        <f t="shared" si="0"/>
        <v>4.0816326530612242E-2</v>
      </c>
    </row>
    <row r="41" spans="1:12" ht="14.25" customHeight="1" x14ac:dyDescent="0.3">
      <c r="A41" s="6" t="s">
        <v>62</v>
      </c>
      <c r="B41" s="6" t="s">
        <v>22</v>
      </c>
      <c r="C41" s="7">
        <v>45690</v>
      </c>
      <c r="D41" s="6" t="s">
        <v>23</v>
      </c>
      <c r="E41" s="8">
        <v>397172</v>
      </c>
      <c r="F41" s="8">
        <v>241369</v>
      </c>
      <c r="G41" s="8">
        <v>19478</v>
      </c>
      <c r="H41" s="8">
        <v>5480</v>
      </c>
      <c r="I41" s="8">
        <v>7454</v>
      </c>
      <c r="J41" s="19">
        <f t="shared" si="3"/>
        <v>8.1606961215795679E-2</v>
      </c>
      <c r="K41" s="9">
        <v>13.43</v>
      </c>
      <c r="L41" s="10">
        <f t="shared" si="0"/>
        <v>8.1606961215795679E-2</v>
      </c>
    </row>
    <row r="42" spans="1:12" ht="14.25" customHeight="1" x14ac:dyDescent="0.3">
      <c r="A42" s="6" t="s">
        <v>63</v>
      </c>
      <c r="B42" s="6" t="s">
        <v>19</v>
      </c>
      <c r="C42" s="7">
        <v>45660</v>
      </c>
      <c r="D42" s="6" t="s">
        <v>14</v>
      </c>
      <c r="E42" s="8">
        <v>22792</v>
      </c>
      <c r="F42" s="8">
        <v>13157</v>
      </c>
      <c r="G42" s="8">
        <v>279</v>
      </c>
      <c r="H42" s="8">
        <v>61</v>
      </c>
      <c r="I42" s="8">
        <v>86</v>
      </c>
      <c r="J42" s="19">
        <f t="shared" si="3"/>
        <v>1.8690768690768692E-2</v>
      </c>
      <c r="K42" s="9">
        <v>3.24</v>
      </c>
      <c r="L42" s="10">
        <f t="shared" si="0"/>
        <v>1.8690768690768692E-2</v>
      </c>
    </row>
    <row r="43" spans="1:12" ht="14.25" customHeight="1" x14ac:dyDescent="0.3">
      <c r="A43" s="6" t="s">
        <v>64</v>
      </c>
      <c r="B43" s="6" t="s">
        <v>13</v>
      </c>
      <c r="C43" s="7">
        <v>45991</v>
      </c>
      <c r="D43" s="6" t="s">
        <v>17</v>
      </c>
      <c r="E43" s="8">
        <v>22661</v>
      </c>
      <c r="F43" s="8">
        <v>9101</v>
      </c>
      <c r="G43" s="8">
        <v>303</v>
      </c>
      <c r="H43" s="8">
        <v>110</v>
      </c>
      <c r="I43" s="8">
        <v>175</v>
      </c>
      <c r="J43" s="19">
        <f t="shared" si="3"/>
        <v>2.5947663386434845E-2</v>
      </c>
      <c r="K43" s="9">
        <v>6.46</v>
      </c>
      <c r="L43" s="10">
        <f t="shared" si="0"/>
        <v>2.5947663386434845E-2</v>
      </c>
    </row>
    <row r="44" spans="1:12" ht="14.25" customHeight="1" x14ac:dyDescent="0.3">
      <c r="A44" s="6" t="s">
        <v>65</v>
      </c>
      <c r="B44" s="6" t="s">
        <v>13</v>
      </c>
      <c r="C44" s="7">
        <v>45965</v>
      </c>
      <c r="D44" s="6" t="s">
        <v>20</v>
      </c>
      <c r="E44" s="8">
        <v>55310</v>
      </c>
      <c r="F44" s="8">
        <v>30993</v>
      </c>
      <c r="G44" s="8">
        <v>966</v>
      </c>
      <c r="H44" s="8">
        <v>175</v>
      </c>
      <c r="I44" s="8">
        <v>514</v>
      </c>
      <c r="J44" s="19">
        <f t="shared" si="3"/>
        <v>2.992225637316941E-2</v>
      </c>
      <c r="K44" s="9">
        <v>5.34</v>
      </c>
      <c r="L44" s="10">
        <f t="shared" si="0"/>
        <v>2.992225637316941E-2</v>
      </c>
    </row>
    <row r="45" spans="1:12" ht="14.25" customHeight="1" x14ac:dyDescent="0.3">
      <c r="A45" s="6" t="s">
        <v>66</v>
      </c>
      <c r="B45" s="6" t="s">
        <v>16</v>
      </c>
      <c r="C45" s="7">
        <v>45713</v>
      </c>
      <c r="D45" s="6" t="s">
        <v>20</v>
      </c>
      <c r="E45" s="8">
        <v>105049</v>
      </c>
      <c r="F45" s="8">
        <v>62960</v>
      </c>
      <c r="G45" s="8">
        <v>3277</v>
      </c>
      <c r="H45" s="8">
        <v>753</v>
      </c>
      <c r="I45" s="8">
        <v>200</v>
      </c>
      <c r="J45" s="19">
        <f t="shared" si="3"/>
        <v>4.0266923054955307E-2</v>
      </c>
      <c r="K45" s="9">
        <v>6.72</v>
      </c>
      <c r="L45" s="10">
        <f t="shared" si="0"/>
        <v>4.0266923054955307E-2</v>
      </c>
    </row>
    <row r="46" spans="1:12" ht="14.25" customHeight="1" x14ac:dyDescent="0.3">
      <c r="A46" s="6" t="s">
        <v>67</v>
      </c>
      <c r="B46" s="6" t="s">
        <v>16</v>
      </c>
      <c r="C46" s="7">
        <v>45851</v>
      </c>
      <c r="D46" s="6" t="s">
        <v>20</v>
      </c>
      <c r="E46" s="8">
        <v>29553</v>
      </c>
      <c r="F46" s="8">
        <v>16717</v>
      </c>
      <c r="G46" s="8">
        <v>1298</v>
      </c>
      <c r="H46" s="8">
        <v>96</v>
      </c>
      <c r="I46" s="8">
        <v>129</v>
      </c>
      <c r="J46" s="19">
        <f t="shared" si="3"/>
        <v>5.1534531181267551E-2</v>
      </c>
      <c r="K46" s="9">
        <v>9.11</v>
      </c>
      <c r="L46" s="10">
        <f t="shared" si="0"/>
        <v>5.1534531181267551E-2</v>
      </c>
    </row>
    <row r="47" spans="1:12" ht="14.25" customHeight="1" x14ac:dyDescent="0.3">
      <c r="A47" s="6" t="s">
        <v>68</v>
      </c>
      <c r="B47" s="6" t="s">
        <v>19</v>
      </c>
      <c r="C47" s="7">
        <v>45588</v>
      </c>
      <c r="D47" s="6" t="s">
        <v>20</v>
      </c>
      <c r="E47" s="8">
        <v>58726</v>
      </c>
      <c r="F47" s="8">
        <v>49490</v>
      </c>
      <c r="G47" s="8">
        <v>634</v>
      </c>
      <c r="H47" s="8">
        <v>70</v>
      </c>
      <c r="I47" s="8">
        <v>706</v>
      </c>
      <c r="J47" s="19">
        <f t="shared" si="3"/>
        <v>2.4009808262098559E-2</v>
      </c>
      <c r="K47" s="9">
        <v>2.85</v>
      </c>
      <c r="L47" s="10">
        <f t="shared" si="0"/>
        <v>2.4009808262098559E-2</v>
      </c>
    </row>
    <row r="48" spans="1:12" ht="14.25" customHeight="1" x14ac:dyDescent="0.3">
      <c r="A48" s="6" t="s">
        <v>69</v>
      </c>
      <c r="B48" s="6" t="s">
        <v>22</v>
      </c>
      <c r="C48" s="7">
        <v>45972</v>
      </c>
      <c r="D48" s="6" t="s">
        <v>23</v>
      </c>
      <c r="E48" s="8">
        <v>117780</v>
      </c>
      <c r="F48" s="8">
        <v>53877</v>
      </c>
      <c r="G48" s="8">
        <v>4497</v>
      </c>
      <c r="H48" s="8">
        <v>412</v>
      </c>
      <c r="I48" s="8">
        <v>1324</v>
      </c>
      <c r="J48" s="19">
        <f t="shared" si="3"/>
        <v>5.2920699609441332E-2</v>
      </c>
      <c r="K48" s="9">
        <v>11.57</v>
      </c>
      <c r="L48" s="10">
        <f t="shared" si="0"/>
        <v>5.2920699609441332E-2</v>
      </c>
    </row>
    <row r="49" spans="1:12" ht="14.25" customHeight="1" x14ac:dyDescent="0.3">
      <c r="A49" s="6" t="s">
        <v>70</v>
      </c>
      <c r="B49" s="6" t="s">
        <v>22</v>
      </c>
      <c r="C49" s="7">
        <v>45629</v>
      </c>
      <c r="D49" s="6" t="s">
        <v>23</v>
      </c>
      <c r="E49" s="8">
        <v>457636</v>
      </c>
      <c r="F49" s="8">
        <v>222209</v>
      </c>
      <c r="G49" s="8">
        <v>17827</v>
      </c>
      <c r="H49" s="8">
        <v>2665</v>
      </c>
      <c r="I49" s="8">
        <v>9391</v>
      </c>
      <c r="J49" s="19">
        <f t="shared" si="3"/>
        <v>6.5298621611936128E-2</v>
      </c>
      <c r="K49" s="9">
        <v>13.45</v>
      </c>
      <c r="L49" s="10">
        <f t="shared" si="0"/>
        <v>6.5298621611936128E-2</v>
      </c>
    </row>
    <row r="50" spans="1:12" ht="14.25" customHeight="1" x14ac:dyDescent="0.3">
      <c r="A50" s="6" t="s">
        <v>71</v>
      </c>
      <c r="B50" s="6" t="s">
        <v>19</v>
      </c>
      <c r="C50" s="7">
        <v>45917</v>
      </c>
      <c r="D50" s="6" t="s">
        <v>17</v>
      </c>
      <c r="E50" s="8">
        <v>13316</v>
      </c>
      <c r="F50" s="8">
        <v>10584</v>
      </c>
      <c r="G50" s="8">
        <v>223</v>
      </c>
      <c r="H50" s="8">
        <v>53</v>
      </c>
      <c r="I50" s="8">
        <v>99</v>
      </c>
      <c r="J50" s="19">
        <f t="shared" si="3"/>
        <v>2.8161610093121056E-2</v>
      </c>
      <c r="K50" s="9">
        <v>3.54</v>
      </c>
      <c r="L50" s="10">
        <f t="shared" si="0"/>
        <v>2.8161610093121056E-2</v>
      </c>
    </row>
    <row r="51" spans="1:12" ht="14.25" customHeight="1" x14ac:dyDescent="0.3">
      <c r="A51" s="6" t="s">
        <v>72</v>
      </c>
      <c r="B51" s="6" t="s">
        <v>30</v>
      </c>
      <c r="C51" s="7">
        <v>45939</v>
      </c>
      <c r="D51" s="6" t="s">
        <v>17</v>
      </c>
      <c r="E51" s="8">
        <v>8646</v>
      </c>
      <c r="F51" s="8">
        <v>6027</v>
      </c>
      <c r="G51" s="8">
        <v>352</v>
      </c>
      <c r="H51" s="8">
        <v>138</v>
      </c>
      <c r="I51" s="8">
        <v>88</v>
      </c>
      <c r="J51" s="19">
        <f t="shared" si="3"/>
        <v>6.6851723340272964E-2</v>
      </c>
      <c r="K51" s="9">
        <v>9.59</v>
      </c>
      <c r="L51" s="10">
        <f t="shared" si="0"/>
        <v>6.6851723340272964E-2</v>
      </c>
    </row>
    <row r="52" spans="1:12" ht="14.25" customHeight="1" x14ac:dyDescent="0.3">
      <c r="A52" s="6" t="s">
        <v>73</v>
      </c>
      <c r="B52" s="6" t="s">
        <v>16</v>
      </c>
      <c r="C52" s="7">
        <v>45867</v>
      </c>
      <c r="D52" s="6" t="s">
        <v>17</v>
      </c>
      <c r="E52" s="8">
        <v>13675</v>
      </c>
      <c r="F52" s="8">
        <v>7920</v>
      </c>
      <c r="G52" s="8">
        <v>168</v>
      </c>
      <c r="H52" s="8">
        <v>41</v>
      </c>
      <c r="I52" s="8">
        <v>8</v>
      </c>
      <c r="J52" s="19">
        <f t="shared" si="3"/>
        <v>1.5868372943327238E-2</v>
      </c>
      <c r="K52" s="9">
        <v>2.74</v>
      </c>
      <c r="L52" s="10">
        <f t="shared" si="0"/>
        <v>1.5868372943327238E-2</v>
      </c>
    </row>
    <row r="53" spans="1:12" ht="14.25" customHeight="1" x14ac:dyDescent="0.3">
      <c r="A53" s="6" t="s">
        <v>74</v>
      </c>
      <c r="B53" s="6" t="s">
        <v>19</v>
      </c>
      <c r="C53" s="7">
        <v>45445</v>
      </c>
      <c r="D53" s="6" t="s">
        <v>20</v>
      </c>
      <c r="E53" s="8">
        <v>48287</v>
      </c>
      <c r="F53" s="8">
        <v>41966</v>
      </c>
      <c r="G53" s="8">
        <v>528</v>
      </c>
      <c r="H53" s="8">
        <v>282</v>
      </c>
      <c r="I53" s="8">
        <v>724</v>
      </c>
      <c r="J53" s="19">
        <f t="shared" si="3"/>
        <v>3.1768384865491744E-2</v>
      </c>
      <c r="K53" s="9">
        <v>3.66</v>
      </c>
      <c r="L53" s="10">
        <f t="shared" si="0"/>
        <v>3.1768384865491744E-2</v>
      </c>
    </row>
    <row r="54" spans="1:12" ht="14.25" customHeight="1" x14ac:dyDescent="0.3">
      <c r="A54" s="6" t="s">
        <v>75</v>
      </c>
      <c r="B54" s="6" t="s">
        <v>16</v>
      </c>
      <c r="C54" s="7">
        <v>45730</v>
      </c>
      <c r="D54" s="6" t="s">
        <v>23</v>
      </c>
      <c r="E54" s="8">
        <v>117992</v>
      </c>
      <c r="F54" s="8">
        <v>57025</v>
      </c>
      <c r="G54" s="8">
        <v>2223</v>
      </c>
      <c r="H54" s="8">
        <v>246</v>
      </c>
      <c r="I54" s="8">
        <v>506</v>
      </c>
      <c r="J54" s="19">
        <f t="shared" si="3"/>
        <v>2.5213573801613667E-2</v>
      </c>
      <c r="K54" s="9">
        <v>5.22</v>
      </c>
      <c r="L54" s="10">
        <f t="shared" si="0"/>
        <v>2.5213573801613667E-2</v>
      </c>
    </row>
    <row r="55" spans="1:12" ht="14.25" customHeight="1" x14ac:dyDescent="0.3">
      <c r="A55" s="6" t="s">
        <v>78</v>
      </c>
      <c r="B55" s="6" t="s">
        <v>22</v>
      </c>
      <c r="C55" s="7">
        <v>45839</v>
      </c>
      <c r="D55" s="6" t="s">
        <v>23</v>
      </c>
      <c r="E55" s="8">
        <v>506642</v>
      </c>
      <c r="F55" s="8">
        <v>174546</v>
      </c>
      <c r="G55" s="8">
        <v>6615</v>
      </c>
      <c r="H55" s="8">
        <v>4959</v>
      </c>
      <c r="I55" s="8">
        <v>4706</v>
      </c>
      <c r="J55" s="19">
        <f t="shared" si="3"/>
        <v>3.2133143324082881E-2</v>
      </c>
      <c r="K55" s="9">
        <v>9.33</v>
      </c>
      <c r="L55" s="10">
        <f t="shared" si="0"/>
        <v>3.2133143324082881E-2</v>
      </c>
    </row>
    <row r="56" spans="1:12" ht="14.25" customHeight="1" x14ac:dyDescent="0.3">
      <c r="A56" s="6" t="s">
        <v>79</v>
      </c>
      <c r="B56" s="6" t="s">
        <v>16</v>
      </c>
      <c r="C56" s="7">
        <v>45529</v>
      </c>
      <c r="D56" s="6" t="s">
        <v>25</v>
      </c>
      <c r="E56" s="8">
        <v>69218</v>
      </c>
      <c r="F56" s="8">
        <v>32641</v>
      </c>
      <c r="G56" s="8">
        <v>2526</v>
      </c>
      <c r="H56" s="8">
        <v>238</v>
      </c>
      <c r="I56" s="8">
        <v>142</v>
      </c>
      <c r="J56" s="19">
        <f t="shared" si="3"/>
        <v>4.1983299141841721E-2</v>
      </c>
      <c r="K56" s="9">
        <v>8.9</v>
      </c>
      <c r="L56" s="10">
        <f t="shared" si="0"/>
        <v>4.1983299141841721E-2</v>
      </c>
    </row>
    <row r="57" spans="1:12" ht="14.25" customHeight="1" x14ac:dyDescent="0.3">
      <c r="A57" s="6" t="s">
        <v>80</v>
      </c>
      <c r="B57" s="6" t="s">
        <v>30</v>
      </c>
      <c r="C57" s="7">
        <v>45802</v>
      </c>
      <c r="D57" s="6" t="s">
        <v>25</v>
      </c>
      <c r="E57" s="8">
        <v>14531</v>
      </c>
      <c r="F57" s="8">
        <v>8760</v>
      </c>
      <c r="G57" s="8">
        <v>299</v>
      </c>
      <c r="H57" s="8">
        <v>123</v>
      </c>
      <c r="I57" s="8">
        <v>119</v>
      </c>
      <c r="J57" s="19">
        <f t="shared" si="3"/>
        <v>3.723074805588053E-2</v>
      </c>
      <c r="K57" s="9">
        <v>6.18</v>
      </c>
      <c r="L57" s="10">
        <f t="shared" si="0"/>
        <v>3.723074805588053E-2</v>
      </c>
    </row>
    <row r="58" spans="1:12" ht="14.25" customHeight="1" x14ac:dyDescent="0.3">
      <c r="A58" s="6" t="s">
        <v>82</v>
      </c>
      <c r="B58" s="6" t="s">
        <v>16</v>
      </c>
      <c r="C58" s="7">
        <v>45923</v>
      </c>
      <c r="D58" s="6" t="s">
        <v>23</v>
      </c>
      <c r="E58" s="8">
        <v>8393</v>
      </c>
      <c r="F58" s="8">
        <v>4428</v>
      </c>
      <c r="G58" s="8">
        <v>318</v>
      </c>
      <c r="H58" s="8">
        <v>23</v>
      </c>
      <c r="I58" s="8">
        <v>9</v>
      </c>
      <c r="J58" s="19">
        <f t="shared" si="3"/>
        <v>4.1701417848206836E-2</v>
      </c>
      <c r="K58" s="9">
        <v>7.9</v>
      </c>
      <c r="L58" s="10">
        <f t="shared" si="0"/>
        <v>4.1701417848206836E-2</v>
      </c>
    </row>
    <row r="59" spans="1:12" ht="14.25" customHeight="1" x14ac:dyDescent="0.3">
      <c r="A59" s="6" t="s">
        <v>83</v>
      </c>
      <c r="B59" s="6" t="s">
        <v>16</v>
      </c>
      <c r="C59" s="7">
        <v>45293</v>
      </c>
      <c r="D59" s="6" t="s">
        <v>25</v>
      </c>
      <c r="E59" s="8">
        <v>77758</v>
      </c>
      <c r="F59" s="8">
        <v>53039</v>
      </c>
      <c r="G59" s="8">
        <v>4006</v>
      </c>
      <c r="H59" s="8">
        <v>345</v>
      </c>
      <c r="I59" s="8">
        <v>272</v>
      </c>
      <c r="J59" s="19">
        <f t="shared" si="3"/>
        <v>5.9453689652511639E-2</v>
      </c>
      <c r="K59" s="9">
        <v>8.7200000000000006</v>
      </c>
      <c r="L59" s="10">
        <f t="shared" si="0"/>
        <v>5.9453689652511639E-2</v>
      </c>
    </row>
    <row r="60" spans="1:12" ht="14.25" customHeight="1" x14ac:dyDescent="0.3">
      <c r="A60" s="6" t="s">
        <v>84</v>
      </c>
      <c r="B60" s="6" t="s">
        <v>19</v>
      </c>
      <c r="C60" s="7">
        <v>46006</v>
      </c>
      <c r="D60" s="6" t="s">
        <v>14</v>
      </c>
      <c r="E60" s="8">
        <v>5028</v>
      </c>
      <c r="F60" s="8">
        <v>3861</v>
      </c>
      <c r="G60" s="8">
        <v>103</v>
      </c>
      <c r="H60" s="8">
        <v>29</v>
      </c>
      <c r="I60" s="8">
        <v>12</v>
      </c>
      <c r="J60" s="19">
        <f t="shared" si="3"/>
        <v>2.8639618138424822E-2</v>
      </c>
      <c r="K60" s="9">
        <v>3.73</v>
      </c>
      <c r="L60" s="10">
        <f t="shared" si="0"/>
        <v>2.8639618138424822E-2</v>
      </c>
    </row>
    <row r="61" spans="1:12" ht="14.25" customHeight="1" x14ac:dyDescent="0.3">
      <c r="A61" s="6" t="s">
        <v>85</v>
      </c>
      <c r="B61" s="6" t="s">
        <v>22</v>
      </c>
      <c r="C61" s="7">
        <v>45957</v>
      </c>
      <c r="D61" s="6" t="s">
        <v>20</v>
      </c>
      <c r="E61" s="8">
        <v>168937</v>
      </c>
      <c r="F61" s="8">
        <v>114463</v>
      </c>
      <c r="G61" s="8">
        <v>9826</v>
      </c>
      <c r="H61" s="8">
        <v>1326</v>
      </c>
      <c r="I61" s="8">
        <v>4902</v>
      </c>
      <c r="J61" s="19">
        <f t="shared" si="3"/>
        <v>9.5029508041459237E-2</v>
      </c>
      <c r="K61" s="9">
        <v>14.03</v>
      </c>
      <c r="L61" s="10">
        <f t="shared" si="0"/>
        <v>9.5029508041459237E-2</v>
      </c>
    </row>
    <row r="62" spans="1:12" ht="14.25" customHeight="1" x14ac:dyDescent="0.3">
      <c r="A62" s="6" t="s">
        <v>86</v>
      </c>
      <c r="B62" s="6" t="s">
        <v>16</v>
      </c>
      <c r="C62" s="7">
        <v>45823</v>
      </c>
      <c r="D62" s="6" t="s">
        <v>20</v>
      </c>
      <c r="E62" s="8">
        <v>93930</v>
      </c>
      <c r="F62" s="8">
        <v>59514</v>
      </c>
      <c r="G62" s="8">
        <v>3659</v>
      </c>
      <c r="H62" s="8">
        <v>610</v>
      </c>
      <c r="I62" s="8">
        <v>342</v>
      </c>
      <c r="J62" s="19">
        <f t="shared" si="3"/>
        <v>4.9089747684445864E-2</v>
      </c>
      <c r="K62" s="9">
        <v>7.75</v>
      </c>
      <c r="L62" s="10">
        <f t="shared" si="0"/>
        <v>4.9089747684445864E-2</v>
      </c>
    </row>
    <row r="63" spans="1:12" ht="14.25" customHeight="1" x14ac:dyDescent="0.3">
      <c r="A63" s="6" t="s">
        <v>87</v>
      </c>
      <c r="B63" s="6" t="s">
        <v>16</v>
      </c>
      <c r="C63" s="7">
        <v>45696</v>
      </c>
      <c r="D63" s="6" t="s">
        <v>25</v>
      </c>
      <c r="E63" s="8">
        <v>5838</v>
      </c>
      <c r="F63" s="8">
        <v>4002</v>
      </c>
      <c r="G63" s="8">
        <v>204</v>
      </c>
      <c r="H63" s="8">
        <v>10</v>
      </c>
      <c r="I63" s="8">
        <v>26</v>
      </c>
      <c r="J63" s="19">
        <f t="shared" si="3"/>
        <v>4.1109969167523124E-2</v>
      </c>
      <c r="K63" s="9">
        <v>6</v>
      </c>
      <c r="L63" s="10">
        <f t="shared" si="0"/>
        <v>4.1109969167523124E-2</v>
      </c>
    </row>
    <row r="64" spans="1:12" ht="14.25" customHeight="1" x14ac:dyDescent="0.3">
      <c r="A64" s="6" t="s">
        <v>88</v>
      </c>
      <c r="B64" s="6" t="s">
        <v>16</v>
      </c>
      <c r="C64" s="7">
        <v>45481</v>
      </c>
      <c r="D64" s="6" t="s">
        <v>25</v>
      </c>
      <c r="E64" s="8">
        <v>37520</v>
      </c>
      <c r="F64" s="8">
        <v>22934</v>
      </c>
      <c r="G64" s="8">
        <v>1461</v>
      </c>
      <c r="H64" s="8">
        <v>213</v>
      </c>
      <c r="I64" s="8">
        <v>55</v>
      </c>
      <c r="J64" s="19">
        <f t="shared" si="3"/>
        <v>4.6082089552238803E-2</v>
      </c>
      <c r="K64" s="9">
        <v>7.54</v>
      </c>
      <c r="L64" s="10">
        <f t="shared" si="0"/>
        <v>4.6082089552238803E-2</v>
      </c>
    </row>
    <row r="65" spans="1:12" ht="14.25" customHeight="1" x14ac:dyDescent="0.3">
      <c r="A65" s="6" t="s">
        <v>89</v>
      </c>
      <c r="B65" s="6" t="s">
        <v>22</v>
      </c>
      <c r="C65" s="7">
        <v>45380</v>
      </c>
      <c r="D65" s="6" t="s">
        <v>23</v>
      </c>
      <c r="E65" s="8">
        <v>71516</v>
      </c>
      <c r="F65" s="8">
        <v>27664</v>
      </c>
      <c r="G65" s="8">
        <v>3172</v>
      </c>
      <c r="H65" s="8">
        <v>660</v>
      </c>
      <c r="I65" s="8">
        <v>436</v>
      </c>
      <c r="J65" s="19">
        <f t="shared" si="3"/>
        <v>5.9678952961575035E-2</v>
      </c>
      <c r="K65" s="9">
        <v>15.43</v>
      </c>
      <c r="L65" s="10">
        <f t="shared" si="0"/>
        <v>5.9678952961575035E-2</v>
      </c>
    </row>
    <row r="66" spans="1:12" ht="14.25" customHeight="1" x14ac:dyDescent="0.3">
      <c r="A66" s="6" t="s">
        <v>90</v>
      </c>
      <c r="B66" s="6" t="s">
        <v>22</v>
      </c>
      <c r="C66" s="7">
        <v>45798</v>
      </c>
      <c r="D66" s="6" t="s">
        <v>20</v>
      </c>
      <c r="E66" s="8">
        <v>299132</v>
      </c>
      <c r="F66" s="8">
        <v>161505</v>
      </c>
      <c r="G66" s="8">
        <v>7593</v>
      </c>
      <c r="H66" s="8">
        <v>4816</v>
      </c>
      <c r="I66" s="8">
        <v>6033</v>
      </c>
      <c r="J66" s="19">
        <f t="shared" si="3"/>
        <v>6.1651712287551987E-2</v>
      </c>
      <c r="K66" s="9">
        <v>11.42</v>
      </c>
      <c r="L66" s="10">
        <f t="shared" si="0"/>
        <v>6.1651712287551987E-2</v>
      </c>
    </row>
    <row r="67" spans="1:12" ht="14.25" customHeight="1" x14ac:dyDescent="0.3">
      <c r="A67" s="6" t="s">
        <v>91</v>
      </c>
      <c r="B67" s="6" t="s">
        <v>19</v>
      </c>
      <c r="C67" s="7">
        <v>45962</v>
      </c>
      <c r="D67" s="6" t="s">
        <v>14</v>
      </c>
      <c r="E67" s="8">
        <v>8127</v>
      </c>
      <c r="F67" s="8">
        <v>5127</v>
      </c>
      <c r="G67" s="8">
        <v>50</v>
      </c>
      <c r="H67" s="8">
        <v>10</v>
      </c>
      <c r="I67" s="8">
        <v>43</v>
      </c>
      <c r="J67" s="19">
        <f t="shared" ref="J67:J130" si="4">(G67+H67+I67)/E67</f>
        <v>1.267380337147779E-2</v>
      </c>
      <c r="K67" s="9">
        <v>2.0099999999999998</v>
      </c>
      <c r="L67" s="10">
        <f t="shared" si="0"/>
        <v>1.267380337147779E-2</v>
      </c>
    </row>
    <row r="68" spans="1:12" ht="14.25" customHeight="1" x14ac:dyDescent="0.3">
      <c r="A68" s="6" t="s">
        <v>92</v>
      </c>
      <c r="B68" s="6" t="s">
        <v>22</v>
      </c>
      <c r="C68" s="7">
        <v>45485</v>
      </c>
      <c r="D68" s="6" t="s">
        <v>20</v>
      </c>
      <c r="E68" s="8">
        <v>407702</v>
      </c>
      <c r="F68" s="8">
        <v>147642</v>
      </c>
      <c r="G68" s="8">
        <v>12661</v>
      </c>
      <c r="H68" s="8">
        <v>1316</v>
      </c>
      <c r="I68" s="8">
        <v>6009</v>
      </c>
      <c r="J68" s="19">
        <f t="shared" si="4"/>
        <v>4.9021098743690247E-2</v>
      </c>
      <c r="K68" s="9">
        <v>13.54</v>
      </c>
      <c r="L68" s="10">
        <f t="shared" si="0"/>
        <v>4.9021098743690247E-2</v>
      </c>
    </row>
    <row r="69" spans="1:12" ht="14.25" customHeight="1" x14ac:dyDescent="0.3">
      <c r="A69" s="6" t="s">
        <v>93</v>
      </c>
      <c r="B69" s="6" t="s">
        <v>22</v>
      </c>
      <c r="C69" s="7">
        <v>45668</v>
      </c>
      <c r="D69" s="6" t="s">
        <v>23</v>
      </c>
      <c r="E69" s="8">
        <v>535523</v>
      </c>
      <c r="F69" s="8">
        <v>341530</v>
      </c>
      <c r="G69" s="8">
        <v>38740</v>
      </c>
      <c r="H69" s="8">
        <v>3884</v>
      </c>
      <c r="I69" s="8">
        <v>4175</v>
      </c>
      <c r="J69" s="19">
        <f t="shared" si="4"/>
        <v>8.7389337152652638E-2</v>
      </c>
      <c r="K69" s="9">
        <v>13.7</v>
      </c>
      <c r="L69" s="10">
        <f t="shared" si="0"/>
        <v>8.7389337152652638E-2</v>
      </c>
    </row>
    <row r="70" spans="1:12" ht="14.25" customHeight="1" x14ac:dyDescent="0.3">
      <c r="A70" s="6" t="s">
        <v>94</v>
      </c>
      <c r="B70" s="6" t="s">
        <v>30</v>
      </c>
      <c r="C70" s="7">
        <v>45763</v>
      </c>
      <c r="D70" s="6" t="s">
        <v>20</v>
      </c>
      <c r="E70" s="8">
        <v>15843</v>
      </c>
      <c r="F70" s="8">
        <v>11545</v>
      </c>
      <c r="G70" s="8">
        <v>269</v>
      </c>
      <c r="H70" s="8">
        <v>263</v>
      </c>
      <c r="I70" s="8">
        <v>53</v>
      </c>
      <c r="J70" s="19">
        <f t="shared" si="4"/>
        <v>3.692482484377959E-2</v>
      </c>
      <c r="K70" s="9">
        <v>5.07</v>
      </c>
      <c r="L70" s="10">
        <f t="shared" si="0"/>
        <v>3.692482484377959E-2</v>
      </c>
    </row>
    <row r="71" spans="1:12" ht="14.25" customHeight="1" x14ac:dyDescent="0.3">
      <c r="A71" s="6" t="s">
        <v>95</v>
      </c>
      <c r="B71" s="6" t="s">
        <v>19</v>
      </c>
      <c r="C71" s="7">
        <v>45840</v>
      </c>
      <c r="D71" s="6" t="s">
        <v>17</v>
      </c>
      <c r="E71" s="8">
        <v>11965</v>
      </c>
      <c r="F71" s="8">
        <v>10699</v>
      </c>
      <c r="G71" s="8">
        <v>275</v>
      </c>
      <c r="H71" s="8">
        <v>46</v>
      </c>
      <c r="I71" s="8">
        <v>197</v>
      </c>
      <c r="J71" s="19">
        <f t="shared" si="4"/>
        <v>4.3292937735060592E-2</v>
      </c>
      <c r="K71" s="9">
        <v>4.84</v>
      </c>
      <c r="L71" s="10">
        <f t="shared" si="0"/>
        <v>4.3292937735060592E-2</v>
      </c>
    </row>
    <row r="72" spans="1:12" ht="14.25" customHeight="1" x14ac:dyDescent="0.3">
      <c r="A72" s="6" t="s">
        <v>96</v>
      </c>
      <c r="B72" s="6" t="s">
        <v>30</v>
      </c>
      <c r="C72" s="7">
        <v>45753</v>
      </c>
      <c r="D72" s="6" t="s">
        <v>14</v>
      </c>
      <c r="E72" s="8">
        <v>11571</v>
      </c>
      <c r="F72" s="8">
        <v>6047</v>
      </c>
      <c r="G72" s="8">
        <v>288</v>
      </c>
      <c r="H72" s="8">
        <v>49</v>
      </c>
      <c r="I72" s="8">
        <v>37</v>
      </c>
      <c r="J72" s="19">
        <f t="shared" si="4"/>
        <v>3.2322184772275518E-2</v>
      </c>
      <c r="K72" s="9">
        <v>6.18</v>
      </c>
      <c r="L72" s="10">
        <f t="shared" si="0"/>
        <v>3.2322184772275518E-2</v>
      </c>
    </row>
    <row r="73" spans="1:12" ht="14.25" customHeight="1" x14ac:dyDescent="0.3">
      <c r="A73" s="6" t="s">
        <v>97</v>
      </c>
      <c r="B73" s="6" t="s">
        <v>13</v>
      </c>
      <c r="C73" s="7">
        <v>45621</v>
      </c>
      <c r="D73" s="6" t="s">
        <v>20</v>
      </c>
      <c r="E73" s="8">
        <v>15181</v>
      </c>
      <c r="F73" s="8">
        <v>6189</v>
      </c>
      <c r="G73" s="8">
        <v>90</v>
      </c>
      <c r="H73" s="8">
        <v>103</v>
      </c>
      <c r="I73" s="8">
        <v>156</v>
      </c>
      <c r="J73" s="19">
        <f t="shared" si="4"/>
        <v>2.2989262894407482E-2</v>
      </c>
      <c r="K73" s="9">
        <v>5.64</v>
      </c>
      <c r="L73" s="10">
        <f t="shared" si="0"/>
        <v>2.2989262894407482E-2</v>
      </c>
    </row>
    <row r="74" spans="1:12" ht="14.25" customHeight="1" x14ac:dyDescent="0.3">
      <c r="A74" s="6" t="s">
        <v>98</v>
      </c>
      <c r="B74" s="6" t="s">
        <v>13</v>
      </c>
      <c r="C74" s="7">
        <v>45320</v>
      </c>
      <c r="D74" s="6" t="s">
        <v>25</v>
      </c>
      <c r="E74" s="8">
        <v>5673</v>
      </c>
      <c r="F74" s="8">
        <v>3035</v>
      </c>
      <c r="G74" s="8">
        <v>54</v>
      </c>
      <c r="H74" s="8">
        <v>12</v>
      </c>
      <c r="I74" s="8">
        <v>27</v>
      </c>
      <c r="J74" s="19">
        <f t="shared" si="4"/>
        <v>1.6393442622950821E-2</v>
      </c>
      <c r="K74" s="9">
        <v>3.06</v>
      </c>
      <c r="L74" s="10">
        <f t="shared" si="0"/>
        <v>1.6393442622950821E-2</v>
      </c>
    </row>
    <row r="75" spans="1:12" ht="14.25" customHeight="1" x14ac:dyDescent="0.3">
      <c r="A75" s="6" t="s">
        <v>99</v>
      </c>
      <c r="B75" s="6" t="s">
        <v>22</v>
      </c>
      <c r="C75" s="7">
        <v>45561</v>
      </c>
      <c r="D75" s="6" t="s">
        <v>23</v>
      </c>
      <c r="E75" s="8">
        <v>262599</v>
      </c>
      <c r="F75" s="8">
        <v>95367</v>
      </c>
      <c r="G75" s="8">
        <v>6417</v>
      </c>
      <c r="H75" s="8">
        <v>2040</v>
      </c>
      <c r="I75" s="8">
        <v>4153</v>
      </c>
      <c r="J75" s="19">
        <f t="shared" si="4"/>
        <v>4.8019984843811286E-2</v>
      </c>
      <c r="K75" s="9">
        <v>13.22</v>
      </c>
      <c r="L75" s="10">
        <f t="shared" si="0"/>
        <v>4.8019984843811286E-2</v>
      </c>
    </row>
    <row r="76" spans="1:12" ht="14.25" customHeight="1" x14ac:dyDescent="0.3">
      <c r="A76" s="6" t="s">
        <v>100</v>
      </c>
      <c r="B76" s="6" t="s">
        <v>19</v>
      </c>
      <c r="C76" s="7">
        <v>45542</v>
      </c>
      <c r="D76" s="6" t="s">
        <v>17</v>
      </c>
      <c r="E76" s="8">
        <v>12143</v>
      </c>
      <c r="F76" s="8">
        <v>9572</v>
      </c>
      <c r="G76" s="8">
        <v>258</v>
      </c>
      <c r="H76" s="8">
        <v>64</v>
      </c>
      <c r="I76" s="8">
        <v>64</v>
      </c>
      <c r="J76" s="19">
        <f t="shared" si="4"/>
        <v>3.1787861319278597E-2</v>
      </c>
      <c r="K76" s="9">
        <v>4.03</v>
      </c>
      <c r="L76" s="10">
        <f t="shared" si="0"/>
        <v>3.1787861319278597E-2</v>
      </c>
    </row>
    <row r="77" spans="1:12" ht="14.25" customHeight="1" x14ac:dyDescent="0.3">
      <c r="A77" s="6" t="s">
        <v>101</v>
      </c>
      <c r="B77" s="6" t="s">
        <v>22</v>
      </c>
      <c r="C77" s="7">
        <v>45538</v>
      </c>
      <c r="D77" s="6" t="s">
        <v>23</v>
      </c>
      <c r="E77" s="8">
        <v>358986</v>
      </c>
      <c r="F77" s="8">
        <v>121792</v>
      </c>
      <c r="G77" s="8">
        <v>12616</v>
      </c>
      <c r="H77" s="8">
        <v>1536</v>
      </c>
      <c r="I77" s="8">
        <v>3892</v>
      </c>
      <c r="J77" s="19">
        <f t="shared" si="4"/>
        <v>5.0263798588245784E-2</v>
      </c>
      <c r="K77" s="9">
        <v>14.82</v>
      </c>
      <c r="L77" s="10">
        <f t="shared" si="0"/>
        <v>5.0263798588245784E-2</v>
      </c>
    </row>
    <row r="78" spans="1:12" ht="14.25" customHeight="1" x14ac:dyDescent="0.3">
      <c r="A78" s="6" t="s">
        <v>102</v>
      </c>
      <c r="B78" s="6" t="s">
        <v>13</v>
      </c>
      <c r="C78" s="7">
        <v>45392</v>
      </c>
      <c r="D78" s="6" t="s">
        <v>17</v>
      </c>
      <c r="E78" s="8">
        <v>12649</v>
      </c>
      <c r="F78" s="8">
        <v>4990</v>
      </c>
      <c r="G78" s="8">
        <v>212</v>
      </c>
      <c r="H78" s="8">
        <v>24</v>
      </c>
      <c r="I78" s="8">
        <v>37</v>
      </c>
      <c r="J78" s="19">
        <f t="shared" si="4"/>
        <v>2.1582733812949641E-2</v>
      </c>
      <c r="K78" s="9">
        <v>5.47</v>
      </c>
      <c r="L78" s="10">
        <f t="shared" si="0"/>
        <v>2.1582733812949641E-2</v>
      </c>
    </row>
    <row r="79" spans="1:12" ht="14.25" customHeight="1" x14ac:dyDescent="0.3">
      <c r="A79" s="6" t="s">
        <v>103</v>
      </c>
      <c r="B79" s="6" t="s">
        <v>16</v>
      </c>
      <c r="C79" s="7">
        <v>45748</v>
      </c>
      <c r="D79" s="6" t="s">
        <v>23</v>
      </c>
      <c r="E79" s="8">
        <v>92618</v>
      </c>
      <c r="F79" s="8">
        <v>58170</v>
      </c>
      <c r="G79" s="8">
        <v>4526</v>
      </c>
      <c r="H79" s="8">
        <v>868</v>
      </c>
      <c r="I79" s="8">
        <v>347</v>
      </c>
      <c r="J79" s="19">
        <f t="shared" si="4"/>
        <v>6.1985791098922459E-2</v>
      </c>
      <c r="K79" s="9">
        <v>9.8699999999999992</v>
      </c>
      <c r="L79" s="10">
        <f t="shared" si="0"/>
        <v>6.1985791098922459E-2</v>
      </c>
    </row>
    <row r="80" spans="1:12" ht="14.25" customHeight="1" x14ac:dyDescent="0.3">
      <c r="A80" s="6" t="s">
        <v>104</v>
      </c>
      <c r="B80" s="6" t="s">
        <v>19</v>
      </c>
      <c r="C80" s="7">
        <v>45454</v>
      </c>
      <c r="D80" s="6" t="s">
        <v>20</v>
      </c>
      <c r="E80" s="8">
        <v>49374</v>
      </c>
      <c r="F80" s="8">
        <v>41354</v>
      </c>
      <c r="G80" s="8">
        <v>251</v>
      </c>
      <c r="H80" s="8">
        <v>250</v>
      </c>
      <c r="I80" s="8">
        <v>595</v>
      </c>
      <c r="J80" s="19">
        <f t="shared" si="4"/>
        <v>2.219791793251509E-2</v>
      </c>
      <c r="K80" s="9">
        <v>2.65</v>
      </c>
      <c r="L80" s="10">
        <f t="shared" si="0"/>
        <v>2.219791793251509E-2</v>
      </c>
    </row>
    <row r="81" spans="1:12" ht="14.25" customHeight="1" x14ac:dyDescent="0.3">
      <c r="A81" s="6" t="s">
        <v>105</v>
      </c>
      <c r="B81" s="6" t="s">
        <v>30</v>
      </c>
      <c r="C81" s="7">
        <v>45680</v>
      </c>
      <c r="D81" s="6" t="s">
        <v>20</v>
      </c>
      <c r="E81" s="8">
        <v>36161</v>
      </c>
      <c r="F81" s="8">
        <v>22731</v>
      </c>
      <c r="G81" s="8">
        <v>1346</v>
      </c>
      <c r="H81" s="8">
        <v>473</v>
      </c>
      <c r="I81" s="8">
        <v>253</v>
      </c>
      <c r="J81" s="19">
        <f t="shared" si="4"/>
        <v>5.7299300351207103E-2</v>
      </c>
      <c r="K81" s="9">
        <v>9.1199999999999992</v>
      </c>
      <c r="L81" s="10">
        <f t="shared" si="0"/>
        <v>5.7299300351207103E-2</v>
      </c>
    </row>
    <row r="82" spans="1:12" ht="14.25" customHeight="1" x14ac:dyDescent="0.3">
      <c r="A82" s="6" t="s">
        <v>106</v>
      </c>
      <c r="B82" s="6" t="s">
        <v>19</v>
      </c>
      <c r="C82" s="7">
        <v>45308</v>
      </c>
      <c r="D82" s="6" t="s">
        <v>20</v>
      </c>
      <c r="E82" s="8">
        <v>70967</v>
      </c>
      <c r="F82" s="8">
        <v>61447</v>
      </c>
      <c r="G82" s="8">
        <v>1623</v>
      </c>
      <c r="H82" s="8">
        <v>138</v>
      </c>
      <c r="I82" s="8">
        <v>1036</v>
      </c>
      <c r="J82" s="19">
        <f t="shared" si="4"/>
        <v>3.9412684768977128E-2</v>
      </c>
      <c r="K82" s="9">
        <v>4.55</v>
      </c>
      <c r="L82" s="10">
        <f t="shared" si="0"/>
        <v>3.9412684768977128E-2</v>
      </c>
    </row>
    <row r="83" spans="1:12" ht="14.25" customHeight="1" x14ac:dyDescent="0.3">
      <c r="A83" s="6" t="s">
        <v>107</v>
      </c>
      <c r="B83" s="6" t="s">
        <v>13</v>
      </c>
      <c r="C83" s="7">
        <v>45740</v>
      </c>
      <c r="D83" s="6" t="s">
        <v>17</v>
      </c>
      <c r="E83" s="8">
        <v>21460</v>
      </c>
      <c r="F83" s="8">
        <v>12765</v>
      </c>
      <c r="G83" s="8">
        <v>573</v>
      </c>
      <c r="H83" s="8">
        <v>242</v>
      </c>
      <c r="I83" s="8">
        <v>64</v>
      </c>
      <c r="J83" s="19">
        <f t="shared" si="4"/>
        <v>4.0959925442684064E-2</v>
      </c>
      <c r="K83" s="9">
        <v>6.89</v>
      </c>
      <c r="L83" s="10">
        <f t="shared" si="0"/>
        <v>4.0959925442684064E-2</v>
      </c>
    </row>
    <row r="84" spans="1:12" ht="14.25" customHeight="1" x14ac:dyDescent="0.3">
      <c r="A84" s="6" t="s">
        <v>108</v>
      </c>
      <c r="B84" s="6" t="s">
        <v>13</v>
      </c>
      <c r="C84" s="7">
        <v>45713</v>
      </c>
      <c r="D84" s="6" t="s">
        <v>20</v>
      </c>
      <c r="E84" s="8">
        <v>50767</v>
      </c>
      <c r="F84" s="8">
        <v>17586</v>
      </c>
      <c r="G84" s="8">
        <v>337</v>
      </c>
      <c r="H84" s="8">
        <v>281</v>
      </c>
      <c r="I84" s="8">
        <v>435</v>
      </c>
      <c r="J84" s="19">
        <f t="shared" si="4"/>
        <v>2.0741820473929914E-2</v>
      </c>
      <c r="K84" s="9">
        <v>5.99</v>
      </c>
      <c r="L84" s="10">
        <f t="shared" si="0"/>
        <v>2.0741820473929914E-2</v>
      </c>
    </row>
    <row r="85" spans="1:12" ht="14.25" customHeight="1" x14ac:dyDescent="0.3">
      <c r="A85" s="6" t="s">
        <v>109</v>
      </c>
      <c r="B85" s="6" t="s">
        <v>30</v>
      </c>
      <c r="C85" s="7">
        <v>45523</v>
      </c>
      <c r="D85" s="6" t="s">
        <v>25</v>
      </c>
      <c r="E85" s="8">
        <v>9624</v>
      </c>
      <c r="F85" s="8">
        <v>6496</v>
      </c>
      <c r="G85" s="8">
        <v>165</v>
      </c>
      <c r="H85" s="8">
        <v>56</v>
      </c>
      <c r="I85" s="8">
        <v>58</v>
      </c>
      <c r="J85" s="19">
        <f t="shared" si="4"/>
        <v>2.8990024937655859E-2</v>
      </c>
      <c r="K85" s="9">
        <v>4.29</v>
      </c>
      <c r="L85" s="10">
        <f t="shared" si="0"/>
        <v>2.8990024937655859E-2</v>
      </c>
    </row>
    <row r="86" spans="1:12" ht="14.25" customHeight="1" x14ac:dyDescent="0.3">
      <c r="A86" s="6" t="s">
        <v>110</v>
      </c>
      <c r="B86" s="6" t="s">
        <v>19</v>
      </c>
      <c r="C86" s="7">
        <v>45635</v>
      </c>
      <c r="D86" s="6" t="s">
        <v>20</v>
      </c>
      <c r="E86" s="8">
        <v>50240</v>
      </c>
      <c r="F86" s="8">
        <v>38491</v>
      </c>
      <c r="G86" s="8">
        <v>836</v>
      </c>
      <c r="H86" s="8">
        <v>168</v>
      </c>
      <c r="I86" s="8">
        <v>463</v>
      </c>
      <c r="J86" s="19">
        <f t="shared" si="4"/>
        <v>2.9199840764331211E-2</v>
      </c>
      <c r="K86" s="9">
        <v>3.81</v>
      </c>
      <c r="L86" s="10">
        <f t="shared" si="0"/>
        <v>2.9199840764331211E-2</v>
      </c>
    </row>
    <row r="87" spans="1:12" ht="14.25" customHeight="1" x14ac:dyDescent="0.3">
      <c r="A87" s="6" t="s">
        <v>111</v>
      </c>
      <c r="B87" s="6" t="s">
        <v>16</v>
      </c>
      <c r="C87" s="7">
        <v>45450</v>
      </c>
      <c r="D87" s="6" t="s">
        <v>17</v>
      </c>
      <c r="E87" s="8">
        <v>17356</v>
      </c>
      <c r="F87" s="8">
        <v>10644</v>
      </c>
      <c r="G87" s="8">
        <v>477</v>
      </c>
      <c r="H87" s="8">
        <v>126</v>
      </c>
      <c r="I87" s="8">
        <v>65</v>
      </c>
      <c r="J87" s="19">
        <f t="shared" si="4"/>
        <v>3.8488130905738646E-2</v>
      </c>
      <c r="K87" s="9">
        <v>6.28</v>
      </c>
      <c r="L87" s="10">
        <f t="shared" si="0"/>
        <v>3.8488130905738646E-2</v>
      </c>
    </row>
    <row r="88" spans="1:12" ht="14.25" customHeight="1" x14ac:dyDescent="0.3">
      <c r="A88" s="6" t="s">
        <v>112</v>
      </c>
      <c r="B88" s="6" t="s">
        <v>30</v>
      </c>
      <c r="C88" s="7">
        <v>45524</v>
      </c>
      <c r="D88" s="6" t="s">
        <v>14</v>
      </c>
      <c r="E88" s="8">
        <v>5440</v>
      </c>
      <c r="F88" s="8">
        <v>4035</v>
      </c>
      <c r="G88" s="8">
        <v>103</v>
      </c>
      <c r="H88" s="8">
        <v>98</v>
      </c>
      <c r="I88" s="8">
        <v>34</v>
      </c>
      <c r="J88" s="19">
        <f t="shared" si="4"/>
        <v>4.3198529411764705E-2</v>
      </c>
      <c r="K88" s="9">
        <v>5.82</v>
      </c>
      <c r="L88" s="10">
        <f t="shared" si="0"/>
        <v>4.3198529411764705E-2</v>
      </c>
    </row>
    <row r="89" spans="1:12" ht="14.25" customHeight="1" x14ac:dyDescent="0.3">
      <c r="A89" s="6" t="s">
        <v>113</v>
      </c>
      <c r="B89" s="6" t="s">
        <v>16</v>
      </c>
      <c r="C89" s="7">
        <v>45379</v>
      </c>
      <c r="D89" s="6" t="s">
        <v>25</v>
      </c>
      <c r="E89" s="8">
        <v>68920</v>
      </c>
      <c r="F89" s="8">
        <v>34748</v>
      </c>
      <c r="G89" s="8">
        <v>2339</v>
      </c>
      <c r="H89" s="8">
        <v>434</v>
      </c>
      <c r="I89" s="8">
        <v>36</v>
      </c>
      <c r="J89" s="19">
        <f t="shared" si="4"/>
        <v>4.0757399883923393E-2</v>
      </c>
      <c r="K89" s="9">
        <v>8.08</v>
      </c>
      <c r="L89" s="10">
        <f t="shared" si="0"/>
        <v>4.0757399883923393E-2</v>
      </c>
    </row>
    <row r="90" spans="1:12" ht="14.25" customHeight="1" x14ac:dyDescent="0.3">
      <c r="A90" s="6" t="s">
        <v>114</v>
      </c>
      <c r="B90" s="6" t="s">
        <v>30</v>
      </c>
      <c r="C90" s="7">
        <v>45517</v>
      </c>
      <c r="D90" s="6" t="s">
        <v>14</v>
      </c>
      <c r="E90" s="8">
        <v>19972</v>
      </c>
      <c r="F90" s="8">
        <v>13031</v>
      </c>
      <c r="G90" s="8">
        <v>383</v>
      </c>
      <c r="H90" s="8">
        <v>276</v>
      </c>
      <c r="I90" s="8">
        <v>135</v>
      </c>
      <c r="J90" s="19">
        <f t="shared" si="4"/>
        <v>3.9755657921089524E-2</v>
      </c>
      <c r="K90" s="9">
        <v>6.09</v>
      </c>
      <c r="L90" s="10">
        <f t="shared" si="0"/>
        <v>3.9755657921089524E-2</v>
      </c>
    </row>
    <row r="91" spans="1:12" ht="14.25" customHeight="1" x14ac:dyDescent="0.3">
      <c r="A91" s="6" t="s">
        <v>115</v>
      </c>
      <c r="B91" s="6" t="s">
        <v>22</v>
      </c>
      <c r="C91" s="7">
        <v>45438</v>
      </c>
      <c r="D91" s="6" t="s">
        <v>20</v>
      </c>
      <c r="E91" s="8">
        <v>108139</v>
      </c>
      <c r="F91" s="8">
        <v>43173</v>
      </c>
      <c r="G91" s="8">
        <v>3561</v>
      </c>
      <c r="H91" s="8">
        <v>848</v>
      </c>
      <c r="I91" s="8">
        <v>1411</v>
      </c>
      <c r="J91" s="19">
        <f t="shared" si="4"/>
        <v>5.3819621043286879E-2</v>
      </c>
      <c r="K91" s="9">
        <v>13.48</v>
      </c>
      <c r="L91" s="10">
        <f t="shared" si="0"/>
        <v>5.3819621043286879E-2</v>
      </c>
    </row>
    <row r="92" spans="1:12" ht="14.25" customHeight="1" x14ac:dyDescent="0.3">
      <c r="A92" s="6" t="s">
        <v>116</v>
      </c>
      <c r="B92" s="6" t="s">
        <v>19</v>
      </c>
      <c r="C92" s="7">
        <v>45584</v>
      </c>
      <c r="D92" s="6" t="s">
        <v>17</v>
      </c>
      <c r="E92" s="8">
        <v>22108</v>
      </c>
      <c r="F92" s="8">
        <v>18514</v>
      </c>
      <c r="G92" s="8">
        <v>138</v>
      </c>
      <c r="H92" s="8">
        <v>80</v>
      </c>
      <c r="I92" s="8">
        <v>329</v>
      </c>
      <c r="J92" s="19">
        <f t="shared" si="4"/>
        <v>2.4742174778360774E-2</v>
      </c>
      <c r="K92" s="9">
        <v>2.95</v>
      </c>
      <c r="L92" s="10">
        <f t="shared" si="0"/>
        <v>2.4742174778360774E-2</v>
      </c>
    </row>
    <row r="93" spans="1:12" ht="14.25" customHeight="1" x14ac:dyDescent="0.3">
      <c r="A93" s="6" t="s">
        <v>117</v>
      </c>
      <c r="B93" s="6" t="s">
        <v>13</v>
      </c>
      <c r="C93" s="7">
        <v>45459</v>
      </c>
      <c r="D93" s="6" t="s">
        <v>14</v>
      </c>
      <c r="E93" s="8">
        <v>16372</v>
      </c>
      <c r="F93" s="8">
        <v>9996</v>
      </c>
      <c r="G93" s="8">
        <v>372</v>
      </c>
      <c r="H93" s="8">
        <v>58</v>
      </c>
      <c r="I93" s="8">
        <v>61</v>
      </c>
      <c r="J93" s="19">
        <f t="shared" si="4"/>
        <v>2.9990227217200099E-2</v>
      </c>
      <c r="K93" s="9">
        <v>4.91</v>
      </c>
      <c r="L93" s="10">
        <f t="shared" si="0"/>
        <v>2.9990227217200099E-2</v>
      </c>
    </row>
    <row r="94" spans="1:12" ht="14.25" customHeight="1" x14ac:dyDescent="0.3">
      <c r="A94" s="6" t="s">
        <v>118</v>
      </c>
      <c r="B94" s="6" t="s">
        <v>16</v>
      </c>
      <c r="C94" s="7">
        <v>45806</v>
      </c>
      <c r="D94" s="6" t="s">
        <v>20</v>
      </c>
      <c r="E94" s="8">
        <v>108397</v>
      </c>
      <c r="F94" s="8">
        <v>45181</v>
      </c>
      <c r="G94" s="8">
        <v>2296</v>
      </c>
      <c r="H94" s="8">
        <v>626</v>
      </c>
      <c r="I94" s="8">
        <v>421</v>
      </c>
      <c r="J94" s="19">
        <f t="shared" si="4"/>
        <v>3.0840336909693074E-2</v>
      </c>
      <c r="K94" s="9">
        <v>7.4</v>
      </c>
      <c r="L94" s="10">
        <f t="shared" si="0"/>
        <v>3.0840336909693074E-2</v>
      </c>
    </row>
    <row r="95" spans="1:12" ht="14.25" customHeight="1" x14ac:dyDescent="0.3">
      <c r="A95" s="6" t="s">
        <v>119</v>
      </c>
      <c r="B95" s="6" t="s">
        <v>30</v>
      </c>
      <c r="C95" s="7">
        <v>45548</v>
      </c>
      <c r="D95" s="6" t="s">
        <v>17</v>
      </c>
      <c r="E95" s="8">
        <v>16567</v>
      </c>
      <c r="F95" s="8">
        <v>12618</v>
      </c>
      <c r="G95" s="8">
        <v>349</v>
      </c>
      <c r="H95" s="8">
        <v>104</v>
      </c>
      <c r="I95" s="8">
        <v>139</v>
      </c>
      <c r="J95" s="19">
        <f t="shared" si="4"/>
        <v>3.5733687450956723E-2</v>
      </c>
      <c r="K95" s="9">
        <v>4.6900000000000004</v>
      </c>
      <c r="L95" s="10">
        <f t="shared" si="0"/>
        <v>3.5733687450956723E-2</v>
      </c>
    </row>
    <row r="96" spans="1:12" ht="14.25" customHeight="1" x14ac:dyDescent="0.3">
      <c r="A96" s="6" t="s">
        <v>120</v>
      </c>
      <c r="B96" s="6" t="s">
        <v>22</v>
      </c>
      <c r="C96" s="7">
        <v>45563</v>
      </c>
      <c r="D96" s="6" t="s">
        <v>23</v>
      </c>
      <c r="E96" s="8">
        <v>96621</v>
      </c>
      <c r="F96" s="8">
        <v>45052</v>
      </c>
      <c r="G96" s="8">
        <v>4307</v>
      </c>
      <c r="H96" s="8">
        <v>1057</v>
      </c>
      <c r="I96" s="8">
        <v>849</v>
      </c>
      <c r="J96" s="19">
        <f t="shared" si="4"/>
        <v>6.4302791318657432E-2</v>
      </c>
      <c r="K96" s="9">
        <v>13.79</v>
      </c>
      <c r="L96" s="10">
        <f t="shared" si="0"/>
        <v>6.4302791318657432E-2</v>
      </c>
    </row>
    <row r="97" spans="1:12" ht="14.25" customHeight="1" x14ac:dyDescent="0.3">
      <c r="A97" s="6" t="s">
        <v>121</v>
      </c>
      <c r="B97" s="6" t="s">
        <v>22</v>
      </c>
      <c r="C97" s="7">
        <v>45358</v>
      </c>
      <c r="D97" s="6" t="s">
        <v>20</v>
      </c>
      <c r="E97" s="8">
        <v>296961</v>
      </c>
      <c r="F97" s="8">
        <v>112674</v>
      </c>
      <c r="G97" s="8">
        <v>12300</v>
      </c>
      <c r="H97" s="8">
        <v>3354</v>
      </c>
      <c r="I97" s="8">
        <v>3770</v>
      </c>
      <c r="J97" s="19">
        <f t="shared" si="4"/>
        <v>6.5409262495748605E-2</v>
      </c>
      <c r="K97" s="9">
        <v>17.239999999999998</v>
      </c>
      <c r="L97" s="10">
        <f t="shared" si="0"/>
        <v>6.5409262495748605E-2</v>
      </c>
    </row>
    <row r="98" spans="1:12" ht="14.25" customHeight="1" x14ac:dyDescent="0.3">
      <c r="A98" s="6" t="s">
        <v>122</v>
      </c>
      <c r="B98" s="6" t="s">
        <v>22</v>
      </c>
      <c r="C98" s="7">
        <v>45844</v>
      </c>
      <c r="D98" s="6" t="s">
        <v>20</v>
      </c>
      <c r="E98" s="8">
        <v>119866</v>
      </c>
      <c r="F98" s="8">
        <v>69857</v>
      </c>
      <c r="G98" s="8">
        <v>6445</v>
      </c>
      <c r="H98" s="8">
        <v>892</v>
      </c>
      <c r="I98" s="8">
        <v>919</v>
      </c>
      <c r="J98" s="19">
        <f t="shared" si="4"/>
        <v>6.8876912552350122E-2</v>
      </c>
      <c r="K98" s="9">
        <v>11.82</v>
      </c>
      <c r="L98" s="10">
        <f t="shared" si="0"/>
        <v>6.8876912552350122E-2</v>
      </c>
    </row>
    <row r="99" spans="1:12" ht="14.25" customHeight="1" x14ac:dyDescent="0.3">
      <c r="A99" s="6" t="s">
        <v>123</v>
      </c>
      <c r="B99" s="6" t="s">
        <v>16</v>
      </c>
      <c r="C99" s="7">
        <v>45615</v>
      </c>
      <c r="D99" s="6" t="s">
        <v>17</v>
      </c>
      <c r="E99" s="8">
        <v>33648</v>
      </c>
      <c r="F99" s="8">
        <v>13791</v>
      </c>
      <c r="G99" s="8">
        <v>1062</v>
      </c>
      <c r="H99" s="8">
        <v>30</v>
      </c>
      <c r="I99" s="8">
        <v>110</v>
      </c>
      <c r="J99" s="19">
        <f t="shared" si="4"/>
        <v>3.5722776985259157E-2</v>
      </c>
      <c r="K99" s="9">
        <v>8.7200000000000006</v>
      </c>
      <c r="L99" s="10">
        <f t="shared" si="0"/>
        <v>3.5722776985259157E-2</v>
      </c>
    </row>
    <row r="100" spans="1:12" ht="14.25" customHeight="1" x14ac:dyDescent="0.3">
      <c r="A100" s="6" t="s">
        <v>124</v>
      </c>
      <c r="B100" s="6" t="s">
        <v>16</v>
      </c>
      <c r="C100" s="7">
        <v>45637</v>
      </c>
      <c r="D100" s="6" t="s">
        <v>20</v>
      </c>
      <c r="E100" s="8">
        <v>77225</v>
      </c>
      <c r="F100" s="8">
        <v>48408</v>
      </c>
      <c r="G100" s="8">
        <v>1691</v>
      </c>
      <c r="H100" s="8">
        <v>561</v>
      </c>
      <c r="I100" s="8">
        <v>407</v>
      </c>
      <c r="J100" s="19">
        <f t="shared" si="4"/>
        <v>3.4431854969245709E-2</v>
      </c>
      <c r="K100" s="9">
        <v>5.49</v>
      </c>
      <c r="L100" s="10">
        <f t="shared" si="0"/>
        <v>3.4431854969245709E-2</v>
      </c>
    </row>
    <row r="101" spans="1:12" ht="14.25" customHeight="1" x14ac:dyDescent="0.3">
      <c r="A101" s="6" t="s">
        <v>125</v>
      </c>
      <c r="B101" s="6" t="s">
        <v>19</v>
      </c>
      <c r="C101" s="7">
        <v>45309</v>
      </c>
      <c r="D101" s="6" t="s">
        <v>17</v>
      </c>
      <c r="E101" s="8">
        <v>730</v>
      </c>
      <c r="F101" s="8">
        <v>373</v>
      </c>
      <c r="G101" s="8">
        <v>10</v>
      </c>
      <c r="H101" s="8">
        <v>1</v>
      </c>
      <c r="I101" s="8">
        <v>6</v>
      </c>
      <c r="J101" s="19">
        <f t="shared" si="4"/>
        <v>2.3287671232876714E-2</v>
      </c>
      <c r="K101" s="9">
        <v>4.5599999999999996</v>
      </c>
      <c r="L101" s="10">
        <f t="shared" si="0"/>
        <v>2.3287671232876714E-2</v>
      </c>
    </row>
    <row r="102" spans="1:12" ht="14.25" customHeight="1" x14ac:dyDescent="0.3">
      <c r="A102" s="6" t="s">
        <v>126</v>
      </c>
      <c r="B102" s="6" t="s">
        <v>22</v>
      </c>
      <c r="C102" s="7">
        <v>45538</v>
      </c>
      <c r="D102" s="6" t="s">
        <v>20</v>
      </c>
      <c r="E102" s="8">
        <v>302206</v>
      </c>
      <c r="F102" s="8">
        <v>106795</v>
      </c>
      <c r="G102" s="8">
        <v>4379</v>
      </c>
      <c r="H102" s="8">
        <v>816</v>
      </c>
      <c r="I102" s="8">
        <v>3171</v>
      </c>
      <c r="J102" s="19">
        <f t="shared" si="4"/>
        <v>2.7683103578353838E-2</v>
      </c>
      <c r="K102" s="9">
        <v>7.83</v>
      </c>
      <c r="L102" s="10">
        <f t="shared" si="0"/>
        <v>2.7683103578353838E-2</v>
      </c>
    </row>
    <row r="103" spans="1:12" ht="14.25" customHeight="1" x14ac:dyDescent="0.3">
      <c r="A103" s="6" t="s">
        <v>127</v>
      </c>
      <c r="B103" s="6" t="s">
        <v>22</v>
      </c>
      <c r="C103" s="7">
        <v>45768</v>
      </c>
      <c r="D103" s="6" t="s">
        <v>20</v>
      </c>
      <c r="E103" s="8">
        <v>543651</v>
      </c>
      <c r="F103" s="8">
        <v>205850</v>
      </c>
      <c r="G103" s="8">
        <v>6711</v>
      </c>
      <c r="H103" s="8">
        <v>4743</v>
      </c>
      <c r="I103" s="8">
        <v>10070</v>
      </c>
      <c r="J103" s="19">
        <f t="shared" si="4"/>
        <v>3.959157621341633E-2</v>
      </c>
      <c r="K103" s="9">
        <v>10.46</v>
      </c>
      <c r="L103" s="10">
        <f t="shared" si="0"/>
        <v>3.959157621341633E-2</v>
      </c>
    </row>
    <row r="104" spans="1:12" ht="14.25" customHeight="1" x14ac:dyDescent="0.3">
      <c r="A104" s="6" t="s">
        <v>128</v>
      </c>
      <c r="B104" s="6" t="s">
        <v>30</v>
      </c>
      <c r="C104" s="7">
        <v>45838</v>
      </c>
      <c r="D104" s="6" t="s">
        <v>17</v>
      </c>
      <c r="E104" s="8">
        <v>11879</v>
      </c>
      <c r="F104" s="8">
        <v>5122</v>
      </c>
      <c r="G104" s="8">
        <v>249</v>
      </c>
      <c r="H104" s="8">
        <v>90</v>
      </c>
      <c r="I104" s="8">
        <v>30</v>
      </c>
      <c r="J104" s="19">
        <f t="shared" si="4"/>
        <v>3.1063220809832478E-2</v>
      </c>
      <c r="K104" s="9">
        <v>7.2</v>
      </c>
      <c r="L104" s="10">
        <f t="shared" si="0"/>
        <v>3.1063220809832478E-2</v>
      </c>
    </row>
    <row r="105" spans="1:12" ht="14.25" customHeight="1" x14ac:dyDescent="0.3">
      <c r="A105" s="6" t="s">
        <v>129</v>
      </c>
      <c r="B105" s="6" t="s">
        <v>16</v>
      </c>
      <c r="C105" s="7">
        <v>46002</v>
      </c>
      <c r="D105" s="6" t="s">
        <v>20</v>
      </c>
      <c r="E105" s="8">
        <v>42983</v>
      </c>
      <c r="F105" s="8">
        <v>19797</v>
      </c>
      <c r="G105" s="8">
        <v>673</v>
      </c>
      <c r="H105" s="8">
        <v>154</v>
      </c>
      <c r="I105" s="8">
        <v>68</v>
      </c>
      <c r="J105" s="19">
        <f t="shared" si="4"/>
        <v>2.0822185515203685E-2</v>
      </c>
      <c r="K105" s="9">
        <v>4.5199999999999996</v>
      </c>
      <c r="L105" s="10">
        <f t="shared" si="0"/>
        <v>2.0822185515203685E-2</v>
      </c>
    </row>
    <row r="106" spans="1:12" ht="14.25" customHeight="1" x14ac:dyDescent="0.3">
      <c r="A106" s="6" t="s">
        <v>130</v>
      </c>
      <c r="B106" s="6" t="s">
        <v>30</v>
      </c>
      <c r="C106" s="7">
        <v>45860</v>
      </c>
      <c r="D106" s="6" t="s">
        <v>20</v>
      </c>
      <c r="E106" s="8">
        <v>5423</v>
      </c>
      <c r="F106" s="8">
        <v>3771</v>
      </c>
      <c r="G106" s="8">
        <v>221</v>
      </c>
      <c r="H106" s="8">
        <v>71</v>
      </c>
      <c r="I106" s="8">
        <v>53</v>
      </c>
      <c r="J106" s="19">
        <f t="shared" si="4"/>
        <v>6.3617923658491615E-2</v>
      </c>
      <c r="K106" s="9">
        <v>9.15</v>
      </c>
      <c r="L106" s="10">
        <f t="shared" si="0"/>
        <v>6.3617923658491615E-2</v>
      </c>
    </row>
    <row r="107" spans="1:12" ht="14.25" customHeight="1" x14ac:dyDescent="0.3">
      <c r="A107" s="6" t="s">
        <v>131</v>
      </c>
      <c r="B107" s="6" t="s">
        <v>16</v>
      </c>
      <c r="C107" s="7">
        <v>45333</v>
      </c>
      <c r="D107" s="6" t="s">
        <v>17</v>
      </c>
      <c r="E107" s="8">
        <v>27596</v>
      </c>
      <c r="F107" s="8">
        <v>16651</v>
      </c>
      <c r="G107" s="8">
        <v>1185</v>
      </c>
      <c r="H107" s="8">
        <v>71</v>
      </c>
      <c r="I107" s="8">
        <v>90</v>
      </c>
      <c r="J107" s="19">
        <f t="shared" si="4"/>
        <v>4.8775184809392663E-2</v>
      </c>
      <c r="K107" s="9">
        <v>8.08</v>
      </c>
      <c r="L107" s="10">
        <f t="shared" si="0"/>
        <v>4.8775184809392663E-2</v>
      </c>
    </row>
    <row r="108" spans="1:12" ht="14.25" customHeight="1" x14ac:dyDescent="0.3">
      <c r="A108" s="6" t="s">
        <v>132</v>
      </c>
      <c r="B108" s="6" t="s">
        <v>22</v>
      </c>
      <c r="C108" s="7">
        <v>45627</v>
      </c>
      <c r="D108" s="6" t="s">
        <v>20</v>
      </c>
      <c r="E108" s="8">
        <v>175808</v>
      </c>
      <c r="F108" s="8">
        <v>61551</v>
      </c>
      <c r="G108" s="8">
        <v>3980</v>
      </c>
      <c r="H108" s="8">
        <v>950</v>
      </c>
      <c r="I108" s="8">
        <v>2381</v>
      </c>
      <c r="J108" s="19">
        <f t="shared" si="4"/>
        <v>4.1585138332726611E-2</v>
      </c>
      <c r="K108" s="9">
        <v>11.88</v>
      </c>
      <c r="L108" s="10">
        <f t="shared" si="0"/>
        <v>4.1585138332726611E-2</v>
      </c>
    </row>
    <row r="109" spans="1:12" ht="14.25" customHeight="1" x14ac:dyDescent="0.3">
      <c r="A109" s="6" t="s">
        <v>133</v>
      </c>
      <c r="B109" s="6" t="s">
        <v>16</v>
      </c>
      <c r="C109" s="7">
        <v>45677</v>
      </c>
      <c r="D109" s="6" t="s">
        <v>23</v>
      </c>
      <c r="E109" s="8">
        <v>49085</v>
      </c>
      <c r="F109" s="8">
        <v>21307</v>
      </c>
      <c r="G109" s="8">
        <v>817</v>
      </c>
      <c r="H109" s="8">
        <v>259</v>
      </c>
      <c r="I109" s="8">
        <v>178</v>
      </c>
      <c r="J109" s="19">
        <f t="shared" si="4"/>
        <v>2.5547519608841805E-2</v>
      </c>
      <c r="K109" s="9">
        <v>5.89</v>
      </c>
      <c r="L109" s="10">
        <f t="shared" si="0"/>
        <v>2.5547519608841805E-2</v>
      </c>
    </row>
    <row r="110" spans="1:12" ht="14.25" customHeight="1" x14ac:dyDescent="0.3">
      <c r="A110" s="6" t="s">
        <v>134</v>
      </c>
      <c r="B110" s="6" t="s">
        <v>16</v>
      </c>
      <c r="C110" s="7">
        <v>45919</v>
      </c>
      <c r="D110" s="6" t="s">
        <v>20</v>
      </c>
      <c r="E110" s="8">
        <v>32982</v>
      </c>
      <c r="F110" s="8">
        <v>18147</v>
      </c>
      <c r="G110" s="8">
        <v>1001</v>
      </c>
      <c r="H110" s="8">
        <v>187</v>
      </c>
      <c r="I110" s="8">
        <v>159</v>
      </c>
      <c r="J110" s="19">
        <f t="shared" si="4"/>
        <v>4.084045843187193E-2</v>
      </c>
      <c r="K110" s="9">
        <v>7.42</v>
      </c>
      <c r="L110" s="10">
        <f t="shared" si="0"/>
        <v>4.084045843187193E-2</v>
      </c>
    </row>
    <row r="111" spans="1:12" ht="14.25" customHeight="1" x14ac:dyDescent="0.3">
      <c r="A111" s="6" t="s">
        <v>135</v>
      </c>
      <c r="B111" s="6" t="s">
        <v>16</v>
      </c>
      <c r="C111" s="7">
        <v>45524</v>
      </c>
      <c r="D111" s="6" t="s">
        <v>23</v>
      </c>
      <c r="E111" s="8">
        <v>36143</v>
      </c>
      <c r="F111" s="8">
        <v>17997</v>
      </c>
      <c r="G111" s="8">
        <v>645</v>
      </c>
      <c r="H111" s="8">
        <v>44</v>
      </c>
      <c r="I111" s="8">
        <v>131</v>
      </c>
      <c r="J111" s="19">
        <f t="shared" si="4"/>
        <v>2.2687657361038099E-2</v>
      </c>
      <c r="K111" s="9">
        <v>4.5599999999999996</v>
      </c>
      <c r="L111" s="10">
        <f t="shared" si="0"/>
        <v>2.2687657361038099E-2</v>
      </c>
    </row>
    <row r="112" spans="1:12" ht="14.25" customHeight="1" x14ac:dyDescent="0.3">
      <c r="A112" s="6" t="s">
        <v>136</v>
      </c>
      <c r="B112" s="6" t="s">
        <v>13</v>
      </c>
      <c r="C112" s="7">
        <v>45755</v>
      </c>
      <c r="D112" s="6" t="s">
        <v>25</v>
      </c>
      <c r="E112" s="8">
        <v>26260</v>
      </c>
      <c r="F112" s="8">
        <v>17369</v>
      </c>
      <c r="G112" s="8">
        <v>250</v>
      </c>
      <c r="H112" s="8">
        <v>343</v>
      </c>
      <c r="I112" s="8">
        <v>159</v>
      </c>
      <c r="J112" s="19">
        <f t="shared" si="4"/>
        <v>2.8636709824828636E-2</v>
      </c>
      <c r="K112" s="9">
        <v>4.33</v>
      </c>
      <c r="L112" s="10">
        <f t="shared" si="0"/>
        <v>2.8636709824828636E-2</v>
      </c>
    </row>
    <row r="113" spans="1:12" ht="14.25" customHeight="1" x14ac:dyDescent="0.3">
      <c r="A113" s="6" t="s">
        <v>137</v>
      </c>
      <c r="B113" s="6" t="s">
        <v>22</v>
      </c>
      <c r="C113" s="7">
        <v>45917</v>
      </c>
      <c r="D113" s="6" t="s">
        <v>23</v>
      </c>
      <c r="E113" s="8">
        <v>380871</v>
      </c>
      <c r="F113" s="8">
        <v>249854</v>
      </c>
      <c r="G113" s="8">
        <v>26712</v>
      </c>
      <c r="H113" s="8">
        <v>4443</v>
      </c>
      <c r="I113" s="8">
        <v>10913</v>
      </c>
      <c r="J113" s="19">
        <f t="shared" si="4"/>
        <v>0.11045209532886463</v>
      </c>
      <c r="K113" s="9">
        <v>16.84</v>
      </c>
      <c r="L113" s="10">
        <f t="shared" si="0"/>
        <v>0.11045209532886463</v>
      </c>
    </row>
    <row r="114" spans="1:12" ht="14.25" customHeight="1" x14ac:dyDescent="0.3">
      <c r="A114" s="6" t="s">
        <v>138</v>
      </c>
      <c r="B114" s="6" t="s">
        <v>13</v>
      </c>
      <c r="C114" s="7">
        <v>45808</v>
      </c>
      <c r="D114" s="6" t="s">
        <v>14</v>
      </c>
      <c r="E114" s="8">
        <v>8059</v>
      </c>
      <c r="F114" s="8">
        <v>5232</v>
      </c>
      <c r="G114" s="8">
        <v>140</v>
      </c>
      <c r="H114" s="8">
        <v>62</v>
      </c>
      <c r="I114" s="8">
        <v>132</v>
      </c>
      <c r="J114" s="19">
        <f t="shared" si="4"/>
        <v>4.1444347933986846E-2</v>
      </c>
      <c r="K114" s="9">
        <v>6.38</v>
      </c>
      <c r="L114" s="10">
        <f t="shared" si="0"/>
        <v>4.1444347933986846E-2</v>
      </c>
    </row>
    <row r="115" spans="1:12" ht="14.25" customHeight="1" x14ac:dyDescent="0.3">
      <c r="A115" s="6" t="s">
        <v>139</v>
      </c>
      <c r="B115" s="6" t="s">
        <v>19</v>
      </c>
      <c r="C115" s="7">
        <v>45442</v>
      </c>
      <c r="D115" s="6" t="s">
        <v>14</v>
      </c>
      <c r="E115" s="8">
        <v>5867</v>
      </c>
      <c r="F115" s="8">
        <v>4500</v>
      </c>
      <c r="G115" s="8">
        <v>57</v>
      </c>
      <c r="H115" s="8">
        <v>11</v>
      </c>
      <c r="I115" s="8">
        <v>73</v>
      </c>
      <c r="J115" s="19">
        <f t="shared" si="4"/>
        <v>2.4032725413328789E-2</v>
      </c>
      <c r="K115" s="9">
        <v>3.13</v>
      </c>
      <c r="L115" s="10">
        <f t="shared" si="0"/>
        <v>2.4032725413328789E-2</v>
      </c>
    </row>
    <row r="116" spans="1:12" ht="14.25" customHeight="1" x14ac:dyDescent="0.3">
      <c r="A116" s="6" t="s">
        <v>140</v>
      </c>
      <c r="B116" s="6" t="s">
        <v>22</v>
      </c>
      <c r="C116" s="7">
        <v>45682</v>
      </c>
      <c r="D116" s="6" t="s">
        <v>23</v>
      </c>
      <c r="E116" s="8">
        <v>257439</v>
      </c>
      <c r="F116" s="8">
        <v>156287</v>
      </c>
      <c r="G116" s="8">
        <v>17587</v>
      </c>
      <c r="H116" s="8">
        <v>3960</v>
      </c>
      <c r="I116" s="8">
        <v>1772</v>
      </c>
      <c r="J116" s="19">
        <f t="shared" si="4"/>
        <v>9.0580681248761841E-2</v>
      </c>
      <c r="K116" s="9">
        <v>14.92</v>
      </c>
      <c r="L116" s="10">
        <f t="shared" si="0"/>
        <v>9.0580681248761841E-2</v>
      </c>
    </row>
    <row r="117" spans="1:12" ht="14.25" customHeight="1" x14ac:dyDescent="0.3">
      <c r="A117" s="6" t="s">
        <v>141</v>
      </c>
      <c r="B117" s="6" t="s">
        <v>22</v>
      </c>
      <c r="C117" s="7">
        <v>45382</v>
      </c>
      <c r="D117" s="6" t="s">
        <v>23</v>
      </c>
      <c r="E117" s="8">
        <v>280763</v>
      </c>
      <c r="F117" s="8">
        <v>124724</v>
      </c>
      <c r="G117" s="8">
        <v>6383</v>
      </c>
      <c r="H117" s="8">
        <v>1762</v>
      </c>
      <c r="I117" s="8">
        <v>3138</v>
      </c>
      <c r="J117" s="19">
        <f t="shared" si="4"/>
        <v>4.0186919216563435E-2</v>
      </c>
      <c r="K117" s="9">
        <v>9.0500000000000007</v>
      </c>
      <c r="L117" s="10">
        <f t="shared" si="0"/>
        <v>4.0186919216563435E-2</v>
      </c>
    </row>
    <row r="118" spans="1:12" ht="14.25" customHeight="1" x14ac:dyDescent="0.3">
      <c r="A118" s="6" t="s">
        <v>142</v>
      </c>
      <c r="B118" s="6" t="s">
        <v>19</v>
      </c>
      <c r="C118" s="7">
        <v>45901</v>
      </c>
      <c r="D118" s="6" t="s">
        <v>20</v>
      </c>
      <c r="E118" s="8">
        <v>29237</v>
      </c>
      <c r="F118" s="8">
        <v>21836</v>
      </c>
      <c r="G118" s="8">
        <v>581</v>
      </c>
      <c r="H118" s="8">
        <v>110</v>
      </c>
      <c r="I118" s="8">
        <v>190</v>
      </c>
      <c r="J118" s="19">
        <f t="shared" si="4"/>
        <v>3.013305058658549E-2</v>
      </c>
      <c r="K118" s="9">
        <v>4.03</v>
      </c>
      <c r="L118" s="10">
        <f t="shared" si="0"/>
        <v>3.013305058658549E-2</v>
      </c>
    </row>
    <row r="119" spans="1:12" ht="14.25" customHeight="1" x14ac:dyDescent="0.3">
      <c r="A119" s="6" t="s">
        <v>143</v>
      </c>
      <c r="B119" s="6" t="s">
        <v>13</v>
      </c>
      <c r="C119" s="7">
        <v>45309</v>
      </c>
      <c r="D119" s="6" t="s">
        <v>14</v>
      </c>
      <c r="E119" s="8">
        <v>7249</v>
      </c>
      <c r="F119" s="8">
        <v>4321</v>
      </c>
      <c r="G119" s="8">
        <v>145</v>
      </c>
      <c r="H119" s="8">
        <v>56</v>
      </c>
      <c r="I119" s="8">
        <v>95</v>
      </c>
      <c r="J119" s="19">
        <f t="shared" si="4"/>
        <v>4.0833218374948271E-2</v>
      </c>
      <c r="K119" s="9">
        <v>6.85</v>
      </c>
      <c r="L119" s="10">
        <f t="shared" si="0"/>
        <v>4.0833218374948271E-2</v>
      </c>
    </row>
    <row r="120" spans="1:12" ht="14.25" customHeight="1" x14ac:dyDescent="0.3">
      <c r="A120" s="6" t="s">
        <v>144</v>
      </c>
      <c r="B120" s="6" t="s">
        <v>30</v>
      </c>
      <c r="C120" s="7">
        <v>45467</v>
      </c>
      <c r="D120" s="6" t="s">
        <v>25</v>
      </c>
      <c r="E120" s="8">
        <v>424</v>
      </c>
      <c r="F120" s="8">
        <v>266</v>
      </c>
      <c r="G120" s="8">
        <v>11</v>
      </c>
      <c r="H120" s="8">
        <v>2</v>
      </c>
      <c r="I120" s="8">
        <v>3</v>
      </c>
      <c r="J120" s="19">
        <f t="shared" si="4"/>
        <v>3.7735849056603772E-2</v>
      </c>
      <c r="K120" s="9">
        <v>6.02</v>
      </c>
      <c r="L120" s="10">
        <f t="shared" si="0"/>
        <v>3.7735849056603772E-2</v>
      </c>
    </row>
    <row r="121" spans="1:12" ht="14.25" customHeight="1" x14ac:dyDescent="0.3">
      <c r="A121" s="6" t="s">
        <v>145</v>
      </c>
      <c r="B121" s="6" t="s">
        <v>22</v>
      </c>
      <c r="C121" s="7">
        <v>45691</v>
      </c>
      <c r="D121" s="6" t="s">
        <v>20</v>
      </c>
      <c r="E121" s="8">
        <v>291125</v>
      </c>
      <c r="F121" s="8">
        <v>91396</v>
      </c>
      <c r="G121" s="8">
        <v>4316</v>
      </c>
      <c r="H121" s="8">
        <v>1826</v>
      </c>
      <c r="I121" s="8">
        <v>1395</v>
      </c>
      <c r="J121" s="19">
        <f t="shared" si="4"/>
        <v>2.5889222842421639E-2</v>
      </c>
      <c r="K121" s="9">
        <v>8.25</v>
      </c>
      <c r="L121" s="10">
        <f t="shared" si="0"/>
        <v>2.5889222842421639E-2</v>
      </c>
    </row>
    <row r="122" spans="1:12" ht="14.25" customHeight="1" x14ac:dyDescent="0.3">
      <c r="A122" s="6" t="s">
        <v>146</v>
      </c>
      <c r="B122" s="6" t="s">
        <v>13</v>
      </c>
      <c r="C122" s="7">
        <v>45366</v>
      </c>
      <c r="D122" s="6" t="s">
        <v>17</v>
      </c>
      <c r="E122" s="8">
        <v>21641</v>
      </c>
      <c r="F122" s="8">
        <v>12865</v>
      </c>
      <c r="G122" s="8">
        <v>370</v>
      </c>
      <c r="H122" s="8">
        <v>188</v>
      </c>
      <c r="I122" s="8">
        <v>233</v>
      </c>
      <c r="J122" s="19">
        <f t="shared" si="4"/>
        <v>3.6550991174160156E-2</v>
      </c>
      <c r="K122" s="9">
        <v>6.15</v>
      </c>
      <c r="L122" s="10">
        <f t="shared" si="0"/>
        <v>3.6550991174160156E-2</v>
      </c>
    </row>
    <row r="123" spans="1:12" ht="14.25" customHeight="1" x14ac:dyDescent="0.3">
      <c r="A123" s="6" t="s">
        <v>147</v>
      </c>
      <c r="B123" s="6" t="s">
        <v>13</v>
      </c>
      <c r="C123" s="7">
        <v>45643</v>
      </c>
      <c r="D123" s="6" t="s">
        <v>14</v>
      </c>
      <c r="E123" s="8">
        <v>20634</v>
      </c>
      <c r="F123" s="8">
        <v>13640</v>
      </c>
      <c r="G123" s="8">
        <v>631</v>
      </c>
      <c r="H123" s="8">
        <v>183</v>
      </c>
      <c r="I123" s="8">
        <v>195</v>
      </c>
      <c r="J123" s="19">
        <f t="shared" si="4"/>
        <v>4.8899873994378208E-2</v>
      </c>
      <c r="K123" s="9">
        <v>7.4</v>
      </c>
      <c r="L123" s="10">
        <f t="shared" si="0"/>
        <v>4.8899873994378208E-2</v>
      </c>
    </row>
    <row r="124" spans="1:12" ht="14.25" customHeight="1" x14ac:dyDescent="0.3">
      <c r="A124" s="6" t="s">
        <v>148</v>
      </c>
      <c r="B124" s="6" t="s">
        <v>22</v>
      </c>
      <c r="C124" s="7">
        <v>45507</v>
      </c>
      <c r="D124" s="6" t="s">
        <v>23</v>
      </c>
      <c r="E124" s="8">
        <v>75797</v>
      </c>
      <c r="F124" s="8">
        <v>46050</v>
      </c>
      <c r="G124" s="8">
        <v>5250</v>
      </c>
      <c r="H124" s="8">
        <v>887</v>
      </c>
      <c r="I124" s="8">
        <v>628</v>
      </c>
      <c r="J124" s="19">
        <f t="shared" si="4"/>
        <v>8.9251553491562996E-2</v>
      </c>
      <c r="K124" s="9">
        <v>14.69</v>
      </c>
      <c r="L124" s="10">
        <f t="shared" si="0"/>
        <v>8.9251553491562996E-2</v>
      </c>
    </row>
    <row r="125" spans="1:12" ht="14.25" customHeight="1" x14ac:dyDescent="0.3">
      <c r="A125" s="6" t="s">
        <v>149</v>
      </c>
      <c r="B125" s="6" t="s">
        <v>16</v>
      </c>
      <c r="C125" s="7">
        <v>45615</v>
      </c>
      <c r="D125" s="6" t="s">
        <v>25</v>
      </c>
      <c r="E125" s="8">
        <v>68263</v>
      </c>
      <c r="F125" s="8">
        <v>30619</v>
      </c>
      <c r="G125" s="8">
        <v>1958</v>
      </c>
      <c r="H125" s="8">
        <v>353</v>
      </c>
      <c r="I125" s="8">
        <v>216</v>
      </c>
      <c r="J125" s="19">
        <f t="shared" si="4"/>
        <v>3.7018589865666612E-2</v>
      </c>
      <c r="K125" s="9">
        <v>8.25</v>
      </c>
      <c r="L125" s="10">
        <f t="shared" si="0"/>
        <v>3.7018589865666612E-2</v>
      </c>
    </row>
    <row r="126" spans="1:12" ht="14.25" customHeight="1" x14ac:dyDescent="0.3">
      <c r="A126" s="6" t="s">
        <v>150</v>
      </c>
      <c r="B126" s="6" t="s">
        <v>19</v>
      </c>
      <c r="C126" s="7">
        <v>45358</v>
      </c>
      <c r="D126" s="6" t="s">
        <v>17</v>
      </c>
      <c r="E126" s="8">
        <v>11209</v>
      </c>
      <c r="F126" s="8">
        <v>9067</v>
      </c>
      <c r="G126" s="8">
        <v>126</v>
      </c>
      <c r="H126" s="8">
        <v>19</v>
      </c>
      <c r="I126" s="8">
        <v>107</v>
      </c>
      <c r="J126" s="19">
        <f t="shared" si="4"/>
        <v>2.2481934160049961E-2</v>
      </c>
      <c r="K126" s="9">
        <v>2.78</v>
      </c>
      <c r="L126" s="10">
        <f t="shared" si="0"/>
        <v>2.2481934160049961E-2</v>
      </c>
    </row>
    <row r="127" spans="1:12" ht="14.25" customHeight="1" x14ac:dyDescent="0.3">
      <c r="A127" s="6" t="s">
        <v>151</v>
      </c>
      <c r="B127" s="6" t="s">
        <v>22</v>
      </c>
      <c r="C127" s="7">
        <v>45643</v>
      </c>
      <c r="D127" s="6" t="s">
        <v>20</v>
      </c>
      <c r="E127" s="8">
        <v>23196</v>
      </c>
      <c r="F127" s="8">
        <v>7460</v>
      </c>
      <c r="G127" s="8">
        <v>333</v>
      </c>
      <c r="H127" s="8">
        <v>134</v>
      </c>
      <c r="I127" s="8">
        <v>295</v>
      </c>
      <c r="J127" s="19">
        <f t="shared" si="4"/>
        <v>3.2850491464045527E-2</v>
      </c>
      <c r="K127" s="9">
        <v>10.210000000000001</v>
      </c>
      <c r="L127" s="10">
        <f t="shared" si="0"/>
        <v>3.2850491464045527E-2</v>
      </c>
    </row>
    <row r="128" spans="1:12" ht="14.25" customHeight="1" x14ac:dyDescent="0.3">
      <c r="A128" s="6" t="s">
        <v>152</v>
      </c>
      <c r="B128" s="6" t="s">
        <v>16</v>
      </c>
      <c r="C128" s="7">
        <v>45633</v>
      </c>
      <c r="D128" s="6" t="s">
        <v>23</v>
      </c>
      <c r="E128" s="8">
        <v>94201</v>
      </c>
      <c r="F128" s="8">
        <v>59848</v>
      </c>
      <c r="G128" s="8">
        <v>4419</v>
      </c>
      <c r="H128" s="8">
        <v>348</v>
      </c>
      <c r="I128" s="8">
        <v>219</v>
      </c>
      <c r="J128" s="19">
        <f t="shared" si="4"/>
        <v>5.2929374422776829E-2</v>
      </c>
      <c r="K128" s="9">
        <v>8.33</v>
      </c>
      <c r="L128" s="10">
        <f t="shared" si="0"/>
        <v>5.2929374422776829E-2</v>
      </c>
    </row>
    <row r="129" spans="1:12" ht="14.25" customHeight="1" x14ac:dyDescent="0.3">
      <c r="A129" s="6" t="s">
        <v>153</v>
      </c>
      <c r="B129" s="6" t="s">
        <v>22</v>
      </c>
      <c r="C129" s="7">
        <v>45890</v>
      </c>
      <c r="D129" s="6" t="s">
        <v>20</v>
      </c>
      <c r="E129" s="8">
        <v>367485</v>
      </c>
      <c r="F129" s="8">
        <v>118114</v>
      </c>
      <c r="G129" s="8">
        <v>13007</v>
      </c>
      <c r="H129" s="8">
        <v>2010</v>
      </c>
      <c r="I129" s="8">
        <v>5699</v>
      </c>
      <c r="J129" s="19">
        <f t="shared" si="4"/>
        <v>5.6372368940228852E-2</v>
      </c>
      <c r="K129" s="9">
        <v>17.54</v>
      </c>
      <c r="L129" s="10">
        <f t="shared" si="0"/>
        <v>5.6372368940228852E-2</v>
      </c>
    </row>
    <row r="130" spans="1:12" ht="14.25" customHeight="1" x14ac:dyDescent="0.3">
      <c r="A130" s="6" t="s">
        <v>154</v>
      </c>
      <c r="B130" s="6" t="s">
        <v>13</v>
      </c>
      <c r="C130" s="7">
        <v>45444</v>
      </c>
      <c r="D130" s="6" t="s">
        <v>20</v>
      </c>
      <c r="E130" s="8">
        <v>29086</v>
      </c>
      <c r="F130" s="8">
        <v>14164</v>
      </c>
      <c r="G130" s="8">
        <v>381</v>
      </c>
      <c r="H130" s="8">
        <v>114</v>
      </c>
      <c r="I130" s="8">
        <v>211</v>
      </c>
      <c r="J130" s="19">
        <f t="shared" si="4"/>
        <v>2.4272846042769719E-2</v>
      </c>
      <c r="K130" s="9">
        <v>4.9800000000000004</v>
      </c>
      <c r="L130" s="10">
        <f t="shared" si="0"/>
        <v>2.4272846042769719E-2</v>
      </c>
    </row>
    <row r="131" spans="1:12" ht="14.25" customHeight="1" x14ac:dyDescent="0.3">
      <c r="A131" s="6" t="s">
        <v>155</v>
      </c>
      <c r="B131" s="6" t="s">
        <v>22</v>
      </c>
      <c r="C131" s="7">
        <v>45830</v>
      </c>
      <c r="D131" s="6" t="s">
        <v>23</v>
      </c>
      <c r="E131" s="8">
        <v>340086</v>
      </c>
      <c r="F131" s="8">
        <v>198003</v>
      </c>
      <c r="G131" s="8">
        <v>13799</v>
      </c>
      <c r="H131" s="8">
        <v>1575</v>
      </c>
      <c r="I131" s="8">
        <v>5883</v>
      </c>
      <c r="J131" s="19">
        <f t="shared" ref="J131:J194" si="5">(G131+H131+I131)/E131</f>
        <v>6.2504778203160374E-2</v>
      </c>
      <c r="K131" s="9">
        <v>10.74</v>
      </c>
      <c r="L131" s="10">
        <f t="shared" si="0"/>
        <v>6.2504778203160374E-2</v>
      </c>
    </row>
    <row r="132" spans="1:12" ht="14.25" customHeight="1" x14ac:dyDescent="0.3">
      <c r="A132" s="6" t="s">
        <v>156</v>
      </c>
      <c r="B132" s="6" t="s">
        <v>30</v>
      </c>
      <c r="C132" s="7">
        <v>45542</v>
      </c>
      <c r="D132" s="6" t="s">
        <v>20</v>
      </c>
      <c r="E132" s="8">
        <v>32142</v>
      </c>
      <c r="F132" s="8">
        <v>17934</v>
      </c>
      <c r="G132" s="8">
        <v>817</v>
      </c>
      <c r="H132" s="8">
        <v>213</v>
      </c>
      <c r="I132" s="8">
        <v>215</v>
      </c>
      <c r="J132" s="19">
        <f t="shared" si="5"/>
        <v>3.8734366249766658E-2</v>
      </c>
      <c r="K132" s="9">
        <v>6.94</v>
      </c>
      <c r="L132" s="10">
        <f t="shared" si="0"/>
        <v>3.8734366249766658E-2</v>
      </c>
    </row>
    <row r="133" spans="1:12" ht="14.25" customHeight="1" x14ac:dyDescent="0.3">
      <c r="A133" s="6" t="s">
        <v>157</v>
      </c>
      <c r="B133" s="6" t="s">
        <v>22</v>
      </c>
      <c r="C133" s="7">
        <v>45345</v>
      </c>
      <c r="D133" s="6" t="s">
        <v>23</v>
      </c>
      <c r="E133" s="8">
        <v>30650</v>
      </c>
      <c r="F133" s="8">
        <v>14347</v>
      </c>
      <c r="G133" s="8">
        <v>899</v>
      </c>
      <c r="H133" s="8">
        <v>289</v>
      </c>
      <c r="I133" s="8">
        <v>194</v>
      </c>
      <c r="J133" s="19">
        <f t="shared" si="5"/>
        <v>4.5089722675367046E-2</v>
      </c>
      <c r="K133" s="9">
        <v>9.6300000000000008</v>
      </c>
      <c r="L133" s="10">
        <f t="shared" si="0"/>
        <v>4.5089722675367046E-2</v>
      </c>
    </row>
    <row r="134" spans="1:12" ht="14.25" customHeight="1" x14ac:dyDescent="0.3">
      <c r="A134" s="6" t="s">
        <v>158</v>
      </c>
      <c r="B134" s="6" t="s">
        <v>13</v>
      </c>
      <c r="C134" s="7">
        <v>45415</v>
      </c>
      <c r="D134" s="6" t="s">
        <v>25</v>
      </c>
      <c r="E134" s="8">
        <v>27037</v>
      </c>
      <c r="F134" s="8">
        <v>9717</v>
      </c>
      <c r="G134" s="8">
        <v>154</v>
      </c>
      <c r="H134" s="8">
        <v>146</v>
      </c>
      <c r="I134" s="8">
        <v>220</v>
      </c>
      <c r="J134" s="19">
        <f t="shared" si="5"/>
        <v>1.9232903058771313E-2</v>
      </c>
      <c r="K134" s="9">
        <v>5.35</v>
      </c>
      <c r="L134" s="10">
        <f t="shared" si="0"/>
        <v>1.9232903058771313E-2</v>
      </c>
    </row>
    <row r="135" spans="1:12" ht="14.25" customHeight="1" x14ac:dyDescent="0.3">
      <c r="A135" s="6" t="s">
        <v>159</v>
      </c>
      <c r="B135" s="6" t="s">
        <v>16</v>
      </c>
      <c r="C135" s="7">
        <v>45734</v>
      </c>
      <c r="D135" s="6" t="s">
        <v>25</v>
      </c>
      <c r="E135" s="8">
        <v>23100</v>
      </c>
      <c r="F135" s="8">
        <v>10566</v>
      </c>
      <c r="G135" s="8">
        <v>602</v>
      </c>
      <c r="H135" s="8">
        <v>136</v>
      </c>
      <c r="I135" s="8">
        <v>26</v>
      </c>
      <c r="J135" s="19">
        <f t="shared" si="5"/>
        <v>3.3073593073593074E-2</v>
      </c>
      <c r="K135" s="9">
        <v>7.23</v>
      </c>
      <c r="L135" s="10">
        <f t="shared" si="0"/>
        <v>3.3073593073593074E-2</v>
      </c>
    </row>
    <row r="136" spans="1:12" ht="14.25" customHeight="1" x14ac:dyDescent="0.3">
      <c r="A136" s="6" t="s">
        <v>160</v>
      </c>
      <c r="B136" s="6" t="s">
        <v>16</v>
      </c>
      <c r="C136" s="7">
        <v>45650</v>
      </c>
      <c r="D136" s="6" t="s">
        <v>23</v>
      </c>
      <c r="E136" s="8">
        <v>16363</v>
      </c>
      <c r="F136" s="8">
        <v>9124</v>
      </c>
      <c r="G136" s="8">
        <v>429</v>
      </c>
      <c r="H136" s="8">
        <v>91</v>
      </c>
      <c r="I136" s="8">
        <v>81</v>
      </c>
      <c r="J136" s="19">
        <f t="shared" si="5"/>
        <v>3.6729206135794168E-2</v>
      </c>
      <c r="K136" s="9">
        <v>6.59</v>
      </c>
      <c r="L136" s="10">
        <f t="shared" si="0"/>
        <v>3.6729206135794168E-2</v>
      </c>
    </row>
    <row r="137" spans="1:12" ht="14.25" customHeight="1" x14ac:dyDescent="0.3">
      <c r="A137" s="6" t="s">
        <v>161</v>
      </c>
      <c r="B137" s="6" t="s">
        <v>22</v>
      </c>
      <c r="C137" s="7">
        <v>46004</v>
      </c>
      <c r="D137" s="6" t="s">
        <v>20</v>
      </c>
      <c r="E137" s="8">
        <v>93162</v>
      </c>
      <c r="F137" s="8">
        <v>41278</v>
      </c>
      <c r="G137" s="8">
        <v>2618</v>
      </c>
      <c r="H137" s="8">
        <v>802</v>
      </c>
      <c r="I137" s="8">
        <v>1648</v>
      </c>
      <c r="J137" s="19">
        <f t="shared" si="5"/>
        <v>5.4399862604924756E-2</v>
      </c>
      <c r="K137" s="9">
        <v>12.28</v>
      </c>
      <c r="L137" s="10">
        <f t="shared" si="0"/>
        <v>5.4399862604924756E-2</v>
      </c>
    </row>
    <row r="138" spans="1:12" ht="14.25" customHeight="1" x14ac:dyDescent="0.3">
      <c r="A138" s="6" t="s">
        <v>162</v>
      </c>
      <c r="B138" s="6" t="s">
        <v>16</v>
      </c>
      <c r="C138" s="7">
        <v>45571</v>
      </c>
      <c r="D138" s="6" t="s">
        <v>20</v>
      </c>
      <c r="E138" s="8">
        <v>75048</v>
      </c>
      <c r="F138" s="8">
        <v>35482</v>
      </c>
      <c r="G138" s="8">
        <v>1561</v>
      </c>
      <c r="H138" s="8">
        <v>466</v>
      </c>
      <c r="I138" s="8">
        <v>297</v>
      </c>
      <c r="J138" s="19">
        <f t="shared" si="5"/>
        <v>3.0966847884020893E-2</v>
      </c>
      <c r="K138" s="9">
        <v>6.55</v>
      </c>
      <c r="L138" s="10">
        <f t="shared" si="0"/>
        <v>3.0966847884020893E-2</v>
      </c>
    </row>
    <row r="139" spans="1:12" ht="14.25" customHeight="1" x14ac:dyDescent="0.3">
      <c r="A139" s="6" t="s">
        <v>163</v>
      </c>
      <c r="B139" s="6" t="s">
        <v>16</v>
      </c>
      <c r="C139" s="7">
        <v>45818</v>
      </c>
      <c r="D139" s="6" t="s">
        <v>25</v>
      </c>
      <c r="E139" s="8">
        <v>44099</v>
      </c>
      <c r="F139" s="8">
        <v>33605</v>
      </c>
      <c r="G139" s="8">
        <v>2363</v>
      </c>
      <c r="H139" s="8">
        <v>226</v>
      </c>
      <c r="I139" s="8">
        <v>217</v>
      </c>
      <c r="J139" s="19">
        <f t="shared" si="5"/>
        <v>6.3629560761014989E-2</v>
      </c>
      <c r="K139" s="9">
        <v>8.35</v>
      </c>
      <c r="L139" s="10">
        <f t="shared" si="0"/>
        <v>6.3629560761014989E-2</v>
      </c>
    </row>
    <row r="140" spans="1:12" ht="14.25" customHeight="1" x14ac:dyDescent="0.3">
      <c r="A140" s="6" t="s">
        <v>164</v>
      </c>
      <c r="B140" s="6" t="s">
        <v>22</v>
      </c>
      <c r="C140" s="7">
        <v>45472</v>
      </c>
      <c r="D140" s="6" t="s">
        <v>23</v>
      </c>
      <c r="E140" s="8">
        <v>239851</v>
      </c>
      <c r="F140" s="8">
        <v>124623</v>
      </c>
      <c r="G140" s="8">
        <v>9500</v>
      </c>
      <c r="H140" s="8">
        <v>1981</v>
      </c>
      <c r="I140" s="8">
        <v>4114</v>
      </c>
      <c r="J140" s="19">
        <f t="shared" si="5"/>
        <v>6.5019532960046034E-2</v>
      </c>
      <c r="K140" s="9">
        <v>12.51</v>
      </c>
      <c r="L140" s="10">
        <f t="shared" si="0"/>
        <v>6.5019532960046034E-2</v>
      </c>
    </row>
    <row r="141" spans="1:12" ht="14.25" customHeight="1" x14ac:dyDescent="0.3">
      <c r="A141" s="6" t="s">
        <v>165</v>
      </c>
      <c r="B141" s="6" t="s">
        <v>19</v>
      </c>
      <c r="C141" s="7">
        <v>45544</v>
      </c>
      <c r="D141" s="6" t="s">
        <v>17</v>
      </c>
      <c r="E141" s="8">
        <v>18718</v>
      </c>
      <c r="F141" s="8">
        <v>16040</v>
      </c>
      <c r="G141" s="8">
        <v>189</v>
      </c>
      <c r="H141" s="8">
        <v>56</v>
      </c>
      <c r="I141" s="8">
        <v>137</v>
      </c>
      <c r="J141" s="19">
        <f t="shared" si="5"/>
        <v>2.0408163265306121E-2</v>
      </c>
      <c r="K141" s="9">
        <v>2.38</v>
      </c>
      <c r="L141" s="10">
        <f t="shared" si="0"/>
        <v>2.0408163265306121E-2</v>
      </c>
    </row>
    <row r="142" spans="1:12" ht="14.25" customHeight="1" x14ac:dyDescent="0.3">
      <c r="A142" s="6" t="s">
        <v>166</v>
      </c>
      <c r="B142" s="6" t="s">
        <v>16</v>
      </c>
      <c r="C142" s="7">
        <v>45656</v>
      </c>
      <c r="D142" s="6" t="s">
        <v>25</v>
      </c>
      <c r="E142" s="8">
        <v>22710</v>
      </c>
      <c r="F142" s="8">
        <v>16442</v>
      </c>
      <c r="G142" s="8">
        <v>899</v>
      </c>
      <c r="H142" s="8">
        <v>209</v>
      </c>
      <c r="I142" s="8">
        <v>93</v>
      </c>
      <c r="J142" s="19">
        <f t="shared" si="5"/>
        <v>5.2884191985909289E-2</v>
      </c>
      <c r="K142" s="9">
        <v>7.3</v>
      </c>
      <c r="L142" s="10">
        <f t="shared" si="0"/>
        <v>5.2884191985909289E-2</v>
      </c>
    </row>
    <row r="143" spans="1:12" ht="14.25" customHeight="1" x14ac:dyDescent="0.3">
      <c r="A143" s="6" t="s">
        <v>167</v>
      </c>
      <c r="B143" s="6" t="s">
        <v>22</v>
      </c>
      <c r="C143" s="7">
        <v>45835</v>
      </c>
      <c r="D143" s="6" t="s">
        <v>20</v>
      </c>
      <c r="E143" s="8">
        <v>334929</v>
      </c>
      <c r="F143" s="8">
        <v>222057</v>
      </c>
      <c r="G143" s="8">
        <v>14562</v>
      </c>
      <c r="H143" s="8">
        <v>6577</v>
      </c>
      <c r="I143" s="8">
        <v>7722</v>
      </c>
      <c r="J143" s="19">
        <f t="shared" si="5"/>
        <v>8.6170501807845842E-2</v>
      </c>
      <c r="K143" s="9">
        <v>13</v>
      </c>
      <c r="L143" s="10">
        <f t="shared" si="0"/>
        <v>8.6170501807845842E-2</v>
      </c>
    </row>
    <row r="144" spans="1:12" ht="14.25" customHeight="1" x14ac:dyDescent="0.3">
      <c r="A144" s="6" t="s">
        <v>168</v>
      </c>
      <c r="B144" s="6" t="s">
        <v>22</v>
      </c>
      <c r="C144" s="7">
        <v>45457</v>
      </c>
      <c r="D144" s="6" t="s">
        <v>20</v>
      </c>
      <c r="E144" s="8">
        <v>116642</v>
      </c>
      <c r="F144" s="8">
        <v>66958</v>
      </c>
      <c r="G144" s="8">
        <v>3056</v>
      </c>
      <c r="H144" s="8">
        <v>1891</v>
      </c>
      <c r="I144" s="8">
        <v>2501</v>
      </c>
      <c r="J144" s="19">
        <f t="shared" si="5"/>
        <v>6.385350045438179E-2</v>
      </c>
      <c r="K144" s="9">
        <v>11.12</v>
      </c>
      <c r="L144" s="10">
        <f t="shared" si="0"/>
        <v>6.385350045438179E-2</v>
      </c>
    </row>
    <row r="145" spans="1:12" ht="14.25" customHeight="1" x14ac:dyDescent="0.3">
      <c r="A145" s="6" t="s">
        <v>169</v>
      </c>
      <c r="B145" s="6" t="s">
        <v>22</v>
      </c>
      <c r="C145" s="7">
        <v>45681</v>
      </c>
      <c r="D145" s="6" t="s">
        <v>23</v>
      </c>
      <c r="E145" s="8">
        <v>343312</v>
      </c>
      <c r="F145" s="8">
        <v>126762</v>
      </c>
      <c r="G145" s="8">
        <v>4561</v>
      </c>
      <c r="H145" s="8">
        <v>2281</v>
      </c>
      <c r="I145" s="8">
        <v>3281</v>
      </c>
      <c r="J145" s="19">
        <f t="shared" si="5"/>
        <v>2.948629817775085E-2</v>
      </c>
      <c r="K145" s="9">
        <v>7.99</v>
      </c>
      <c r="L145" s="10">
        <f t="shared" si="0"/>
        <v>2.948629817775085E-2</v>
      </c>
    </row>
    <row r="146" spans="1:12" ht="14.25" customHeight="1" x14ac:dyDescent="0.3">
      <c r="A146" s="6" t="s">
        <v>170</v>
      </c>
      <c r="B146" s="6" t="s">
        <v>19</v>
      </c>
      <c r="C146" s="7">
        <v>45858</v>
      </c>
      <c r="D146" s="6" t="s">
        <v>14</v>
      </c>
      <c r="E146" s="8">
        <v>15197</v>
      </c>
      <c r="F146" s="8">
        <v>10245</v>
      </c>
      <c r="G146" s="8">
        <v>111</v>
      </c>
      <c r="H146" s="8">
        <v>65</v>
      </c>
      <c r="I146" s="8">
        <v>105</v>
      </c>
      <c r="J146" s="19">
        <f t="shared" si="5"/>
        <v>1.8490491544383762E-2</v>
      </c>
      <c r="K146" s="9">
        <v>2.74</v>
      </c>
      <c r="L146" s="10">
        <f t="shared" si="0"/>
        <v>1.8490491544383762E-2</v>
      </c>
    </row>
    <row r="147" spans="1:12" ht="14.25" customHeight="1" x14ac:dyDescent="0.3">
      <c r="A147" s="6" t="s">
        <v>171</v>
      </c>
      <c r="B147" s="6" t="s">
        <v>22</v>
      </c>
      <c r="C147" s="7">
        <v>45754</v>
      </c>
      <c r="D147" s="6" t="s">
        <v>20</v>
      </c>
      <c r="E147" s="8">
        <v>293856</v>
      </c>
      <c r="F147" s="8">
        <v>123520</v>
      </c>
      <c r="G147" s="8">
        <v>6174</v>
      </c>
      <c r="H147" s="8">
        <v>1311</v>
      </c>
      <c r="I147" s="8">
        <v>1917</v>
      </c>
      <c r="J147" s="19">
        <f t="shared" si="5"/>
        <v>3.1995262985952302E-2</v>
      </c>
      <c r="K147" s="9">
        <v>7.61</v>
      </c>
      <c r="L147" s="10">
        <f t="shared" si="0"/>
        <v>3.1995262985952302E-2</v>
      </c>
    </row>
    <row r="148" spans="1:12" ht="14.25" customHeight="1" x14ac:dyDescent="0.3">
      <c r="A148" s="6" t="s">
        <v>172</v>
      </c>
      <c r="B148" s="6" t="s">
        <v>16</v>
      </c>
      <c r="C148" s="7">
        <v>45652</v>
      </c>
      <c r="D148" s="6" t="s">
        <v>20</v>
      </c>
      <c r="E148" s="8">
        <v>5511</v>
      </c>
      <c r="F148" s="8">
        <v>2621</v>
      </c>
      <c r="G148" s="8">
        <v>175</v>
      </c>
      <c r="H148" s="8">
        <v>25</v>
      </c>
      <c r="I148" s="8">
        <v>9</v>
      </c>
      <c r="J148" s="19">
        <f t="shared" si="5"/>
        <v>3.7924151696606789E-2</v>
      </c>
      <c r="K148" s="9">
        <v>7.97</v>
      </c>
      <c r="L148" s="10">
        <f t="shared" si="0"/>
        <v>3.7924151696606789E-2</v>
      </c>
    </row>
    <row r="149" spans="1:12" ht="14.25" customHeight="1" x14ac:dyDescent="0.3">
      <c r="A149" s="6" t="s">
        <v>173</v>
      </c>
      <c r="B149" s="6" t="s">
        <v>13</v>
      </c>
      <c r="C149" s="7">
        <v>45876</v>
      </c>
      <c r="D149" s="6" t="s">
        <v>17</v>
      </c>
      <c r="E149" s="8">
        <v>27066</v>
      </c>
      <c r="F149" s="8">
        <v>18125</v>
      </c>
      <c r="G149" s="8">
        <v>364</v>
      </c>
      <c r="H149" s="8">
        <v>293</v>
      </c>
      <c r="I149" s="8">
        <v>456</v>
      </c>
      <c r="J149" s="19">
        <f t="shared" si="5"/>
        <v>4.1121702504987805E-2</v>
      </c>
      <c r="K149" s="9">
        <v>6.14</v>
      </c>
      <c r="L149" s="10">
        <f t="shared" si="0"/>
        <v>4.1121702504987805E-2</v>
      </c>
    </row>
    <row r="150" spans="1:12" ht="14.25" customHeight="1" x14ac:dyDescent="0.3">
      <c r="A150" s="6" t="s">
        <v>174</v>
      </c>
      <c r="B150" s="6" t="s">
        <v>13</v>
      </c>
      <c r="C150" s="7">
        <v>46002</v>
      </c>
      <c r="D150" s="6" t="s">
        <v>20</v>
      </c>
      <c r="E150" s="8">
        <v>19890</v>
      </c>
      <c r="F150" s="8">
        <v>12829</v>
      </c>
      <c r="G150" s="8">
        <v>147</v>
      </c>
      <c r="H150" s="8">
        <v>175</v>
      </c>
      <c r="I150" s="8">
        <v>230</v>
      </c>
      <c r="J150" s="19">
        <f t="shared" si="5"/>
        <v>2.7752639517345398E-2</v>
      </c>
      <c r="K150" s="9">
        <v>4.3</v>
      </c>
      <c r="L150" s="10">
        <f t="shared" si="0"/>
        <v>2.7752639517345398E-2</v>
      </c>
    </row>
    <row r="151" spans="1:12" ht="14.25" customHeight="1" x14ac:dyDescent="0.3">
      <c r="A151" s="6" t="s">
        <v>175</v>
      </c>
      <c r="B151" s="6" t="s">
        <v>13</v>
      </c>
      <c r="C151" s="7">
        <v>45467</v>
      </c>
      <c r="D151" s="6" t="s">
        <v>17</v>
      </c>
      <c r="E151" s="8">
        <v>25081</v>
      </c>
      <c r="F151" s="8">
        <v>8094</v>
      </c>
      <c r="G151" s="8">
        <v>155</v>
      </c>
      <c r="H151" s="8">
        <v>161</v>
      </c>
      <c r="I151" s="8">
        <v>189</v>
      </c>
      <c r="J151" s="19">
        <f t="shared" si="5"/>
        <v>2.013476336669192E-2</v>
      </c>
      <c r="K151" s="9">
        <v>6.24</v>
      </c>
      <c r="L151" s="10">
        <f t="shared" si="0"/>
        <v>2.013476336669192E-2</v>
      </c>
    </row>
    <row r="152" spans="1:12" ht="14.25" customHeight="1" x14ac:dyDescent="0.3">
      <c r="A152" s="6" t="s">
        <v>176</v>
      </c>
      <c r="B152" s="6" t="s">
        <v>16</v>
      </c>
      <c r="C152" s="7">
        <v>45494</v>
      </c>
      <c r="D152" s="6" t="s">
        <v>23</v>
      </c>
      <c r="E152" s="8">
        <v>104239</v>
      </c>
      <c r="F152" s="8">
        <v>49276</v>
      </c>
      <c r="G152" s="8">
        <v>2773</v>
      </c>
      <c r="H152" s="8">
        <v>500</v>
      </c>
      <c r="I152" s="8">
        <v>483</v>
      </c>
      <c r="J152" s="19">
        <f t="shared" si="5"/>
        <v>3.603257897715826E-2</v>
      </c>
      <c r="K152" s="9">
        <v>7.62</v>
      </c>
      <c r="L152" s="10">
        <f t="shared" si="0"/>
        <v>3.603257897715826E-2</v>
      </c>
    </row>
    <row r="153" spans="1:12" ht="14.25" customHeight="1" x14ac:dyDescent="0.3">
      <c r="A153" s="6" t="s">
        <v>177</v>
      </c>
      <c r="B153" s="6" t="s">
        <v>22</v>
      </c>
      <c r="C153" s="7">
        <v>45643</v>
      </c>
      <c r="D153" s="6" t="s">
        <v>23</v>
      </c>
      <c r="E153" s="8">
        <v>384927</v>
      </c>
      <c r="F153" s="8">
        <v>135945</v>
      </c>
      <c r="G153" s="8">
        <v>7052</v>
      </c>
      <c r="H153" s="8">
        <v>2759</v>
      </c>
      <c r="I153" s="8">
        <v>4351</v>
      </c>
      <c r="J153" s="19">
        <f t="shared" si="5"/>
        <v>3.6791391614513919E-2</v>
      </c>
      <c r="K153" s="9">
        <v>10.42</v>
      </c>
      <c r="L153" s="10">
        <f t="shared" si="0"/>
        <v>3.6791391614513919E-2</v>
      </c>
    </row>
    <row r="154" spans="1:12" ht="14.25" customHeight="1" x14ac:dyDescent="0.3">
      <c r="A154" s="6" t="s">
        <v>178</v>
      </c>
      <c r="B154" s="6" t="s">
        <v>13</v>
      </c>
      <c r="C154" s="7">
        <v>45976</v>
      </c>
      <c r="D154" s="6" t="s">
        <v>20</v>
      </c>
      <c r="E154" s="8">
        <v>20119</v>
      </c>
      <c r="F154" s="8">
        <v>13193</v>
      </c>
      <c r="G154" s="8">
        <v>271</v>
      </c>
      <c r="H154" s="8">
        <v>254</v>
      </c>
      <c r="I154" s="8">
        <v>155</v>
      </c>
      <c r="J154" s="19">
        <f t="shared" si="5"/>
        <v>3.3798896565435659E-2</v>
      </c>
      <c r="K154" s="9">
        <v>5.15</v>
      </c>
      <c r="L154" s="10">
        <f t="shared" si="0"/>
        <v>3.3798896565435659E-2</v>
      </c>
    </row>
    <row r="155" spans="1:12" ht="14.25" customHeight="1" x14ac:dyDescent="0.3">
      <c r="A155" s="6" t="s">
        <v>179</v>
      </c>
      <c r="B155" s="6" t="s">
        <v>30</v>
      </c>
      <c r="C155" s="7">
        <v>45898</v>
      </c>
      <c r="D155" s="6" t="s">
        <v>14</v>
      </c>
      <c r="E155" s="8">
        <v>3246</v>
      </c>
      <c r="F155" s="8">
        <v>1680</v>
      </c>
      <c r="G155" s="8">
        <v>39</v>
      </c>
      <c r="H155" s="8">
        <v>16</v>
      </c>
      <c r="I155" s="8">
        <v>14</v>
      </c>
      <c r="J155" s="19">
        <f t="shared" si="5"/>
        <v>2.1256931608133085E-2</v>
      </c>
      <c r="K155" s="9">
        <v>4.1100000000000003</v>
      </c>
      <c r="L155" s="10">
        <f t="shared" si="0"/>
        <v>2.1256931608133085E-2</v>
      </c>
    </row>
    <row r="156" spans="1:12" ht="14.25" customHeight="1" x14ac:dyDescent="0.3">
      <c r="A156" s="6" t="s">
        <v>180</v>
      </c>
      <c r="B156" s="6" t="s">
        <v>22</v>
      </c>
      <c r="C156" s="7">
        <v>45489</v>
      </c>
      <c r="D156" s="6" t="s">
        <v>23</v>
      </c>
      <c r="E156" s="8">
        <v>30091</v>
      </c>
      <c r="F156" s="8">
        <v>18661</v>
      </c>
      <c r="G156" s="8">
        <v>1810</v>
      </c>
      <c r="H156" s="8">
        <v>174</v>
      </c>
      <c r="I156" s="8">
        <v>701</v>
      </c>
      <c r="J156" s="19">
        <f t="shared" si="5"/>
        <v>8.9229337675716988E-2</v>
      </c>
      <c r="K156" s="9">
        <v>14.39</v>
      </c>
      <c r="L156" s="10">
        <f t="shared" si="0"/>
        <v>8.9229337675716988E-2</v>
      </c>
    </row>
    <row r="157" spans="1:12" ht="14.25" customHeight="1" x14ac:dyDescent="0.3">
      <c r="A157" s="6" t="s">
        <v>181</v>
      </c>
      <c r="B157" s="6" t="s">
        <v>30</v>
      </c>
      <c r="C157" s="7">
        <v>45920</v>
      </c>
      <c r="D157" s="6" t="s">
        <v>14</v>
      </c>
      <c r="E157" s="8">
        <v>11667</v>
      </c>
      <c r="F157" s="8">
        <v>9170</v>
      </c>
      <c r="G157" s="8">
        <v>448</v>
      </c>
      <c r="H157" s="8">
        <v>211</v>
      </c>
      <c r="I157" s="8">
        <v>67</v>
      </c>
      <c r="J157" s="19">
        <f t="shared" si="5"/>
        <v>6.222679352018514E-2</v>
      </c>
      <c r="K157" s="9">
        <v>7.92</v>
      </c>
      <c r="L157" s="10">
        <f t="shared" si="0"/>
        <v>6.222679352018514E-2</v>
      </c>
    </row>
    <row r="158" spans="1:12" ht="14.25" customHeight="1" x14ac:dyDescent="0.3">
      <c r="A158" s="6" t="s">
        <v>182</v>
      </c>
      <c r="B158" s="6" t="s">
        <v>22</v>
      </c>
      <c r="C158" s="7">
        <v>45778</v>
      </c>
      <c r="D158" s="6" t="s">
        <v>20</v>
      </c>
      <c r="E158" s="8">
        <v>194808</v>
      </c>
      <c r="F158" s="8">
        <v>132787</v>
      </c>
      <c r="G158" s="8">
        <v>13497</v>
      </c>
      <c r="H158" s="8">
        <v>2076</v>
      </c>
      <c r="I158" s="8">
        <v>2239</v>
      </c>
      <c r="J158" s="19">
        <f t="shared" si="5"/>
        <v>9.1433616689253011E-2</v>
      </c>
      <c r="K158" s="9">
        <v>13.41</v>
      </c>
      <c r="L158" s="10">
        <f t="shared" si="0"/>
        <v>9.1433616689253011E-2</v>
      </c>
    </row>
    <row r="159" spans="1:12" ht="14.25" customHeight="1" x14ac:dyDescent="0.3">
      <c r="A159" s="6" t="s">
        <v>183</v>
      </c>
      <c r="B159" s="6" t="s">
        <v>22</v>
      </c>
      <c r="C159" s="7">
        <v>45896</v>
      </c>
      <c r="D159" s="6" t="s">
        <v>20</v>
      </c>
      <c r="E159" s="8">
        <v>408495</v>
      </c>
      <c r="F159" s="8">
        <v>221297</v>
      </c>
      <c r="G159" s="8">
        <v>8945</v>
      </c>
      <c r="H159" s="8">
        <v>1490</v>
      </c>
      <c r="I159" s="8">
        <v>6381</v>
      </c>
      <c r="J159" s="19">
        <f t="shared" si="5"/>
        <v>4.1165742542748379E-2</v>
      </c>
      <c r="K159" s="9">
        <v>7.6</v>
      </c>
      <c r="L159" s="10">
        <f t="shared" si="0"/>
        <v>4.1165742542748379E-2</v>
      </c>
    </row>
    <row r="160" spans="1:12" ht="14.25" customHeight="1" x14ac:dyDescent="0.3">
      <c r="A160" s="6" t="s">
        <v>184</v>
      </c>
      <c r="B160" s="6" t="s">
        <v>16</v>
      </c>
      <c r="C160" s="7">
        <v>45419</v>
      </c>
      <c r="D160" s="6" t="s">
        <v>23</v>
      </c>
      <c r="E160" s="8">
        <v>26303</v>
      </c>
      <c r="F160" s="8">
        <v>16607</v>
      </c>
      <c r="G160" s="8">
        <v>1319</v>
      </c>
      <c r="H160" s="8">
        <v>207</v>
      </c>
      <c r="I160" s="8">
        <v>60</v>
      </c>
      <c r="J160" s="19">
        <f t="shared" si="5"/>
        <v>6.0297304489982134E-2</v>
      </c>
      <c r="K160" s="9">
        <v>9.5500000000000007</v>
      </c>
      <c r="L160" s="10">
        <f t="shared" si="0"/>
        <v>6.0297304489982134E-2</v>
      </c>
    </row>
    <row r="161" spans="1:12" ht="14.25" customHeight="1" x14ac:dyDescent="0.3">
      <c r="A161" s="6" t="s">
        <v>185</v>
      </c>
      <c r="B161" s="6" t="s">
        <v>30</v>
      </c>
      <c r="C161" s="7">
        <v>45470</v>
      </c>
      <c r="D161" s="6" t="s">
        <v>25</v>
      </c>
      <c r="E161" s="8">
        <v>11727</v>
      </c>
      <c r="F161" s="8">
        <v>5198</v>
      </c>
      <c r="G161" s="8">
        <v>254</v>
      </c>
      <c r="H161" s="8">
        <v>119</v>
      </c>
      <c r="I161" s="8">
        <v>37</v>
      </c>
      <c r="J161" s="19">
        <f t="shared" si="5"/>
        <v>3.4962053381086385E-2</v>
      </c>
      <c r="K161" s="9">
        <v>7.89</v>
      </c>
      <c r="L161" s="10">
        <f t="shared" si="0"/>
        <v>3.4962053381086385E-2</v>
      </c>
    </row>
    <row r="162" spans="1:12" ht="14.25" customHeight="1" x14ac:dyDescent="0.3">
      <c r="A162" s="6" t="s">
        <v>186</v>
      </c>
      <c r="B162" s="6" t="s">
        <v>19</v>
      </c>
      <c r="C162" s="7">
        <v>45995</v>
      </c>
      <c r="D162" s="6" t="s">
        <v>17</v>
      </c>
      <c r="E162" s="8">
        <v>471</v>
      </c>
      <c r="F162" s="8">
        <v>276</v>
      </c>
      <c r="G162" s="8">
        <v>7</v>
      </c>
      <c r="H162" s="8">
        <v>0</v>
      </c>
      <c r="I162" s="8">
        <v>4</v>
      </c>
      <c r="J162" s="19">
        <f t="shared" si="5"/>
        <v>2.3354564755838639E-2</v>
      </c>
      <c r="K162" s="9">
        <v>3.99</v>
      </c>
      <c r="L162" s="10">
        <f t="shared" si="0"/>
        <v>2.3354564755838639E-2</v>
      </c>
    </row>
    <row r="163" spans="1:12" ht="14.25" customHeight="1" x14ac:dyDescent="0.3">
      <c r="A163" s="6" t="s">
        <v>187</v>
      </c>
      <c r="B163" s="6" t="s">
        <v>30</v>
      </c>
      <c r="C163" s="7">
        <v>45292</v>
      </c>
      <c r="D163" s="6" t="s">
        <v>25</v>
      </c>
      <c r="E163" s="8">
        <v>20026</v>
      </c>
      <c r="F163" s="8">
        <v>11416</v>
      </c>
      <c r="G163" s="8">
        <v>469</v>
      </c>
      <c r="H163" s="8">
        <v>208</v>
      </c>
      <c r="I163" s="8">
        <v>165</v>
      </c>
      <c r="J163" s="19">
        <f t="shared" si="5"/>
        <v>4.2045341056626384E-2</v>
      </c>
      <c r="K163" s="9">
        <v>7.38</v>
      </c>
      <c r="L163" s="10">
        <f t="shared" si="0"/>
        <v>4.2045341056626384E-2</v>
      </c>
    </row>
    <row r="164" spans="1:12" ht="14.25" customHeight="1" x14ac:dyDescent="0.3">
      <c r="A164" s="6" t="s">
        <v>188</v>
      </c>
      <c r="B164" s="6" t="s">
        <v>16</v>
      </c>
      <c r="C164" s="7">
        <v>45894</v>
      </c>
      <c r="D164" s="6" t="s">
        <v>17</v>
      </c>
      <c r="E164" s="8">
        <v>20181</v>
      </c>
      <c r="F164" s="8">
        <v>15435</v>
      </c>
      <c r="G164" s="8">
        <v>573</v>
      </c>
      <c r="H164" s="8">
        <v>160</v>
      </c>
      <c r="I164" s="8">
        <v>74</v>
      </c>
      <c r="J164" s="19">
        <f t="shared" si="5"/>
        <v>3.9988107625984835E-2</v>
      </c>
      <c r="K164" s="9">
        <v>5.23</v>
      </c>
      <c r="L164" s="10">
        <f t="shared" si="0"/>
        <v>3.9988107625984835E-2</v>
      </c>
    </row>
    <row r="165" spans="1:12" ht="14.25" customHeight="1" x14ac:dyDescent="0.3">
      <c r="A165" s="6" t="s">
        <v>189</v>
      </c>
      <c r="B165" s="6" t="s">
        <v>16</v>
      </c>
      <c r="C165" s="7">
        <v>45389</v>
      </c>
      <c r="D165" s="6" t="s">
        <v>25</v>
      </c>
      <c r="E165" s="8">
        <v>36009</v>
      </c>
      <c r="F165" s="8">
        <v>28102</v>
      </c>
      <c r="G165" s="8">
        <v>1365</v>
      </c>
      <c r="H165" s="8">
        <v>80</v>
      </c>
      <c r="I165" s="8">
        <v>71</v>
      </c>
      <c r="J165" s="19">
        <f t="shared" si="5"/>
        <v>4.2100585964619956E-2</v>
      </c>
      <c r="K165" s="9">
        <v>5.39</v>
      </c>
      <c r="L165" s="10">
        <f t="shared" si="0"/>
        <v>4.2100585964619956E-2</v>
      </c>
    </row>
    <row r="166" spans="1:12" ht="14.25" customHeight="1" x14ac:dyDescent="0.3">
      <c r="A166" s="6" t="s">
        <v>190</v>
      </c>
      <c r="B166" s="6" t="s">
        <v>30</v>
      </c>
      <c r="C166" s="7">
        <v>45407</v>
      </c>
      <c r="D166" s="6" t="s">
        <v>20</v>
      </c>
      <c r="E166" s="8">
        <v>10578</v>
      </c>
      <c r="F166" s="8">
        <v>6946</v>
      </c>
      <c r="G166" s="8">
        <v>278</v>
      </c>
      <c r="H166" s="8">
        <v>44</v>
      </c>
      <c r="I166" s="8">
        <v>34</v>
      </c>
      <c r="J166" s="19">
        <f t="shared" si="5"/>
        <v>3.3654755152202682E-2</v>
      </c>
      <c r="K166" s="9">
        <v>5.13</v>
      </c>
      <c r="L166" s="10">
        <f t="shared" si="0"/>
        <v>3.3654755152202682E-2</v>
      </c>
    </row>
    <row r="167" spans="1:12" ht="14.25" customHeight="1" x14ac:dyDescent="0.3">
      <c r="A167" s="6" t="s">
        <v>191</v>
      </c>
      <c r="B167" s="6" t="s">
        <v>16</v>
      </c>
      <c r="C167" s="7">
        <v>45783</v>
      </c>
      <c r="D167" s="6" t="s">
        <v>20</v>
      </c>
      <c r="E167" s="8">
        <v>48103</v>
      </c>
      <c r="F167" s="8">
        <v>24178</v>
      </c>
      <c r="G167" s="8">
        <v>1342</v>
      </c>
      <c r="H167" s="8">
        <v>354</v>
      </c>
      <c r="I167" s="8">
        <v>139</v>
      </c>
      <c r="J167" s="19">
        <f t="shared" si="5"/>
        <v>3.8147308899652829E-2</v>
      </c>
      <c r="K167" s="9">
        <v>7.59</v>
      </c>
      <c r="L167" s="10">
        <f t="shared" si="0"/>
        <v>3.8147308899652829E-2</v>
      </c>
    </row>
    <row r="168" spans="1:12" ht="14.25" customHeight="1" x14ac:dyDescent="0.3">
      <c r="A168" s="6" t="s">
        <v>192</v>
      </c>
      <c r="B168" s="6" t="s">
        <v>19</v>
      </c>
      <c r="C168" s="7">
        <v>46001</v>
      </c>
      <c r="D168" s="6" t="s">
        <v>20</v>
      </c>
      <c r="E168" s="8">
        <v>14655</v>
      </c>
      <c r="F168" s="8">
        <v>13078</v>
      </c>
      <c r="G168" s="8">
        <v>388</v>
      </c>
      <c r="H168" s="8">
        <v>44</v>
      </c>
      <c r="I168" s="8">
        <v>81</v>
      </c>
      <c r="J168" s="19">
        <f t="shared" si="5"/>
        <v>3.5005117707267143E-2</v>
      </c>
      <c r="K168" s="9">
        <v>3.92</v>
      </c>
      <c r="L168" s="10">
        <f t="shared" si="0"/>
        <v>3.5005117707267143E-2</v>
      </c>
    </row>
    <row r="169" spans="1:12" ht="14.25" customHeight="1" x14ac:dyDescent="0.3">
      <c r="A169" s="6" t="s">
        <v>193</v>
      </c>
      <c r="B169" s="6" t="s">
        <v>22</v>
      </c>
      <c r="C169" s="7">
        <v>45665</v>
      </c>
      <c r="D169" s="6" t="s">
        <v>23</v>
      </c>
      <c r="E169" s="8">
        <v>93884</v>
      </c>
      <c r="F169" s="8">
        <v>52756</v>
      </c>
      <c r="G169" s="8">
        <v>2125</v>
      </c>
      <c r="H169" s="8">
        <v>990</v>
      </c>
      <c r="I169" s="8">
        <v>867</v>
      </c>
      <c r="J169" s="19">
        <f t="shared" si="5"/>
        <v>4.2414042861403434E-2</v>
      </c>
      <c r="K169" s="9">
        <v>7.55</v>
      </c>
      <c r="L169" s="10">
        <f t="shared" si="0"/>
        <v>4.2414042861403434E-2</v>
      </c>
    </row>
    <row r="170" spans="1:12" ht="14.25" customHeight="1" x14ac:dyDescent="0.3">
      <c r="A170" s="6" t="s">
        <v>194</v>
      </c>
      <c r="B170" s="6" t="s">
        <v>16</v>
      </c>
      <c r="C170" s="7">
        <v>45573</v>
      </c>
      <c r="D170" s="6" t="s">
        <v>25</v>
      </c>
      <c r="E170" s="8">
        <v>45076</v>
      </c>
      <c r="F170" s="8">
        <v>24828</v>
      </c>
      <c r="G170" s="8">
        <v>1520</v>
      </c>
      <c r="H170" s="8">
        <v>249</v>
      </c>
      <c r="I170" s="8">
        <v>162</v>
      </c>
      <c r="J170" s="19">
        <f t="shared" si="5"/>
        <v>4.2838761203301094E-2</v>
      </c>
      <c r="K170" s="9">
        <v>7.78</v>
      </c>
      <c r="L170" s="10">
        <f t="shared" si="0"/>
        <v>4.2838761203301094E-2</v>
      </c>
    </row>
    <row r="171" spans="1:12" ht="14.25" customHeight="1" x14ac:dyDescent="0.3">
      <c r="A171" s="6" t="s">
        <v>195</v>
      </c>
      <c r="B171" s="6" t="s">
        <v>19</v>
      </c>
      <c r="C171" s="7">
        <v>45378</v>
      </c>
      <c r="D171" s="6" t="s">
        <v>20</v>
      </c>
      <c r="E171" s="8">
        <v>35635</v>
      </c>
      <c r="F171" s="8">
        <v>27103</v>
      </c>
      <c r="G171" s="8">
        <v>465</v>
      </c>
      <c r="H171" s="8">
        <v>39</v>
      </c>
      <c r="I171" s="8">
        <v>100</v>
      </c>
      <c r="J171" s="19">
        <f t="shared" si="5"/>
        <v>1.6949628174547496E-2</v>
      </c>
      <c r="K171" s="9">
        <v>2.23</v>
      </c>
      <c r="L171" s="10">
        <f t="shared" si="0"/>
        <v>1.6949628174547496E-2</v>
      </c>
    </row>
    <row r="172" spans="1:12" ht="14.25" customHeight="1" x14ac:dyDescent="0.3">
      <c r="A172" s="6" t="s">
        <v>196</v>
      </c>
      <c r="B172" s="6" t="s">
        <v>16</v>
      </c>
      <c r="C172" s="7">
        <v>45575</v>
      </c>
      <c r="D172" s="6" t="s">
        <v>17</v>
      </c>
      <c r="E172" s="8">
        <v>15434</v>
      </c>
      <c r="F172" s="8">
        <v>11400</v>
      </c>
      <c r="G172" s="8">
        <v>714</v>
      </c>
      <c r="H172" s="8">
        <v>76</v>
      </c>
      <c r="I172" s="8">
        <v>13</v>
      </c>
      <c r="J172" s="19">
        <f t="shared" si="5"/>
        <v>5.2027990151613322E-2</v>
      </c>
      <c r="K172" s="9">
        <v>7.04</v>
      </c>
      <c r="L172" s="10">
        <f t="shared" si="0"/>
        <v>5.2027990151613322E-2</v>
      </c>
    </row>
    <row r="173" spans="1:12" ht="14.25" customHeight="1" x14ac:dyDescent="0.3">
      <c r="A173" s="6" t="s">
        <v>197</v>
      </c>
      <c r="B173" s="6" t="s">
        <v>13</v>
      </c>
      <c r="C173" s="7">
        <v>45425</v>
      </c>
      <c r="D173" s="6" t="s">
        <v>17</v>
      </c>
      <c r="E173" s="8">
        <v>21321</v>
      </c>
      <c r="F173" s="8">
        <v>12342</v>
      </c>
      <c r="G173" s="8">
        <v>176</v>
      </c>
      <c r="H173" s="8">
        <v>153</v>
      </c>
      <c r="I173" s="8">
        <v>231</v>
      </c>
      <c r="J173" s="19">
        <f t="shared" si="5"/>
        <v>2.626518455982365E-2</v>
      </c>
      <c r="K173" s="9">
        <v>4.54</v>
      </c>
      <c r="L173" s="10">
        <f t="shared" si="0"/>
        <v>2.626518455982365E-2</v>
      </c>
    </row>
    <row r="174" spans="1:12" ht="14.25" customHeight="1" x14ac:dyDescent="0.3">
      <c r="A174" s="6" t="s">
        <v>198</v>
      </c>
      <c r="B174" s="6" t="s">
        <v>13</v>
      </c>
      <c r="C174" s="7">
        <v>45960</v>
      </c>
      <c r="D174" s="6" t="s">
        <v>20</v>
      </c>
      <c r="E174" s="8">
        <v>22187</v>
      </c>
      <c r="F174" s="8">
        <v>9633</v>
      </c>
      <c r="G174" s="8">
        <v>204</v>
      </c>
      <c r="H174" s="8">
        <v>37</v>
      </c>
      <c r="I174" s="8">
        <v>93</v>
      </c>
      <c r="J174" s="19">
        <f t="shared" si="5"/>
        <v>1.5053860368684365E-2</v>
      </c>
      <c r="K174" s="9">
        <v>3.47</v>
      </c>
      <c r="L174" s="10">
        <f t="shared" si="0"/>
        <v>1.5053860368684365E-2</v>
      </c>
    </row>
    <row r="175" spans="1:12" ht="14.25" customHeight="1" x14ac:dyDescent="0.3">
      <c r="A175" s="6" t="s">
        <v>199</v>
      </c>
      <c r="B175" s="6" t="s">
        <v>19</v>
      </c>
      <c r="C175" s="7">
        <v>45707</v>
      </c>
      <c r="D175" s="6" t="s">
        <v>17</v>
      </c>
      <c r="E175" s="8">
        <v>9378</v>
      </c>
      <c r="F175" s="8">
        <v>7167</v>
      </c>
      <c r="G175" s="8">
        <v>190</v>
      </c>
      <c r="H175" s="8">
        <v>7</v>
      </c>
      <c r="I175" s="8">
        <v>96</v>
      </c>
      <c r="J175" s="19">
        <f t="shared" si="5"/>
        <v>3.1243335465984217E-2</v>
      </c>
      <c r="K175" s="9">
        <v>4.09</v>
      </c>
      <c r="L175" s="10">
        <f t="shared" si="0"/>
        <v>3.1243335465984217E-2</v>
      </c>
    </row>
    <row r="176" spans="1:12" ht="14.25" customHeight="1" x14ac:dyDescent="0.3">
      <c r="A176" s="6" t="s">
        <v>200</v>
      </c>
      <c r="B176" s="6" t="s">
        <v>16</v>
      </c>
      <c r="C176" s="7">
        <v>45846</v>
      </c>
      <c r="D176" s="6" t="s">
        <v>25</v>
      </c>
      <c r="E176" s="8">
        <v>44531</v>
      </c>
      <c r="F176" s="8">
        <v>34397</v>
      </c>
      <c r="G176" s="8">
        <v>1578</v>
      </c>
      <c r="H176" s="8">
        <v>81</v>
      </c>
      <c r="I176" s="8">
        <v>227</v>
      </c>
      <c r="J176" s="19">
        <f t="shared" si="5"/>
        <v>4.2352518470279134E-2</v>
      </c>
      <c r="K176" s="9">
        <v>5.48</v>
      </c>
      <c r="L176" s="10">
        <f t="shared" si="0"/>
        <v>4.2352518470279134E-2</v>
      </c>
    </row>
    <row r="177" spans="1:12" ht="14.25" customHeight="1" x14ac:dyDescent="0.3">
      <c r="A177" s="6" t="s">
        <v>201</v>
      </c>
      <c r="B177" s="6" t="s">
        <v>30</v>
      </c>
      <c r="C177" s="7">
        <v>45542</v>
      </c>
      <c r="D177" s="6" t="s">
        <v>17</v>
      </c>
      <c r="E177" s="8">
        <v>1833</v>
      </c>
      <c r="F177" s="8">
        <v>1213</v>
      </c>
      <c r="G177" s="8">
        <v>42</v>
      </c>
      <c r="H177" s="8">
        <v>12</v>
      </c>
      <c r="I177" s="8">
        <v>13</v>
      </c>
      <c r="J177" s="19">
        <f t="shared" si="5"/>
        <v>3.6552100381887616E-2</v>
      </c>
      <c r="K177" s="9">
        <v>5.52</v>
      </c>
      <c r="L177" s="10">
        <f t="shared" si="0"/>
        <v>3.6552100381887616E-2</v>
      </c>
    </row>
    <row r="178" spans="1:12" ht="14.25" customHeight="1" x14ac:dyDescent="0.3">
      <c r="A178" s="6" t="s">
        <v>202</v>
      </c>
      <c r="B178" s="6" t="s">
        <v>22</v>
      </c>
      <c r="C178" s="7">
        <v>45776</v>
      </c>
      <c r="D178" s="6" t="s">
        <v>20</v>
      </c>
      <c r="E178" s="8">
        <v>163262</v>
      </c>
      <c r="F178" s="8">
        <v>69262</v>
      </c>
      <c r="G178" s="8">
        <v>4425</v>
      </c>
      <c r="H178" s="8">
        <v>1354</v>
      </c>
      <c r="I178" s="8">
        <v>2216</v>
      </c>
      <c r="J178" s="19">
        <f t="shared" si="5"/>
        <v>4.8970366649924664E-2</v>
      </c>
      <c r="K178" s="9">
        <v>11.54</v>
      </c>
      <c r="L178" s="10">
        <f t="shared" si="0"/>
        <v>4.8970366649924664E-2</v>
      </c>
    </row>
    <row r="179" spans="1:12" ht="14.25" customHeight="1" x14ac:dyDescent="0.3">
      <c r="A179" s="6" t="s">
        <v>203</v>
      </c>
      <c r="B179" s="6" t="s">
        <v>30</v>
      </c>
      <c r="C179" s="7">
        <v>45966</v>
      </c>
      <c r="D179" s="6" t="s">
        <v>17</v>
      </c>
      <c r="E179" s="8">
        <v>10011</v>
      </c>
      <c r="F179" s="8">
        <v>7004</v>
      </c>
      <c r="G179" s="8">
        <v>264</v>
      </c>
      <c r="H179" s="8">
        <v>137</v>
      </c>
      <c r="I179" s="8">
        <v>44</v>
      </c>
      <c r="J179" s="19">
        <f t="shared" si="5"/>
        <v>4.4451103785835583E-2</v>
      </c>
      <c r="K179" s="9">
        <v>6.35</v>
      </c>
      <c r="L179" s="10">
        <f t="shared" si="0"/>
        <v>4.4451103785835583E-2</v>
      </c>
    </row>
    <row r="180" spans="1:12" ht="14.25" customHeight="1" x14ac:dyDescent="0.3">
      <c r="A180" s="6" t="s">
        <v>204</v>
      </c>
      <c r="B180" s="6" t="s">
        <v>19</v>
      </c>
      <c r="C180" s="7">
        <v>45726</v>
      </c>
      <c r="D180" s="6" t="s">
        <v>14</v>
      </c>
      <c r="E180" s="8">
        <v>6937</v>
      </c>
      <c r="F180" s="8">
        <v>4808</v>
      </c>
      <c r="G180" s="8">
        <v>91</v>
      </c>
      <c r="H180" s="8">
        <v>22</v>
      </c>
      <c r="I180" s="8">
        <v>73</v>
      </c>
      <c r="J180" s="19">
        <f t="shared" si="5"/>
        <v>2.681274326077555E-2</v>
      </c>
      <c r="K180" s="9">
        <v>3.87</v>
      </c>
      <c r="L180" s="10">
        <f t="shared" si="0"/>
        <v>2.681274326077555E-2</v>
      </c>
    </row>
    <row r="181" spans="1:12" ht="14.25" customHeight="1" x14ac:dyDescent="0.3">
      <c r="A181" s="6" t="s">
        <v>205</v>
      </c>
      <c r="B181" s="6" t="s">
        <v>16</v>
      </c>
      <c r="C181" s="7">
        <v>45988</v>
      </c>
      <c r="D181" s="6" t="s">
        <v>25</v>
      </c>
      <c r="E181" s="8">
        <v>13744</v>
      </c>
      <c r="F181" s="8">
        <v>6665</v>
      </c>
      <c r="G181" s="8">
        <v>229</v>
      </c>
      <c r="H181" s="8">
        <v>76</v>
      </c>
      <c r="I181" s="8">
        <v>38</v>
      </c>
      <c r="J181" s="19">
        <f t="shared" si="5"/>
        <v>2.4956344586728754E-2</v>
      </c>
      <c r="K181" s="9">
        <v>5.15</v>
      </c>
      <c r="L181" s="10">
        <f t="shared" si="0"/>
        <v>2.4956344586728754E-2</v>
      </c>
    </row>
    <row r="182" spans="1:12" ht="14.25" customHeight="1" x14ac:dyDescent="0.3">
      <c r="A182" s="6" t="s">
        <v>206</v>
      </c>
      <c r="B182" s="6" t="s">
        <v>16</v>
      </c>
      <c r="C182" s="7">
        <v>45815</v>
      </c>
      <c r="D182" s="6" t="s">
        <v>20</v>
      </c>
      <c r="E182" s="8">
        <v>109761</v>
      </c>
      <c r="F182" s="8">
        <v>67645</v>
      </c>
      <c r="G182" s="8">
        <v>2000</v>
      </c>
      <c r="H182" s="8">
        <v>322</v>
      </c>
      <c r="I182" s="8">
        <v>89</v>
      </c>
      <c r="J182" s="19">
        <f t="shared" si="5"/>
        <v>2.1965907745009613E-2</v>
      </c>
      <c r="K182" s="9">
        <v>3.56</v>
      </c>
      <c r="L182" s="10">
        <f t="shared" si="0"/>
        <v>2.1965907745009613E-2</v>
      </c>
    </row>
    <row r="183" spans="1:12" ht="14.25" customHeight="1" x14ac:dyDescent="0.3">
      <c r="A183" s="6" t="s">
        <v>207</v>
      </c>
      <c r="B183" s="6" t="s">
        <v>13</v>
      </c>
      <c r="C183" s="7">
        <v>45525</v>
      </c>
      <c r="D183" s="6" t="s">
        <v>14</v>
      </c>
      <c r="E183" s="8">
        <v>19511</v>
      </c>
      <c r="F183" s="8">
        <v>5968</v>
      </c>
      <c r="G183" s="8">
        <v>204</v>
      </c>
      <c r="H183" s="8">
        <v>25</v>
      </c>
      <c r="I183" s="8">
        <v>111</v>
      </c>
      <c r="J183" s="19">
        <f t="shared" si="5"/>
        <v>1.7426067346624982E-2</v>
      </c>
      <c r="K183" s="9">
        <v>5.7</v>
      </c>
      <c r="L183" s="10">
        <f t="shared" si="0"/>
        <v>1.7426067346624982E-2</v>
      </c>
    </row>
    <row r="184" spans="1:12" ht="14.25" customHeight="1" x14ac:dyDescent="0.3">
      <c r="A184" s="6" t="s">
        <v>208</v>
      </c>
      <c r="B184" s="6" t="s">
        <v>16</v>
      </c>
      <c r="C184" s="7">
        <v>45357</v>
      </c>
      <c r="D184" s="6" t="s">
        <v>23</v>
      </c>
      <c r="E184" s="8">
        <v>44075</v>
      </c>
      <c r="F184" s="8">
        <v>26842</v>
      </c>
      <c r="G184" s="8">
        <v>936</v>
      </c>
      <c r="H184" s="8">
        <v>58</v>
      </c>
      <c r="I184" s="8">
        <v>224</v>
      </c>
      <c r="J184" s="19">
        <f t="shared" si="5"/>
        <v>2.7634713556437891E-2</v>
      </c>
      <c r="K184" s="9">
        <v>4.54</v>
      </c>
      <c r="L184" s="10">
        <f t="shared" si="0"/>
        <v>2.7634713556437891E-2</v>
      </c>
    </row>
    <row r="185" spans="1:12" ht="14.25" customHeight="1" x14ac:dyDescent="0.3">
      <c r="A185" s="6" t="s">
        <v>209</v>
      </c>
      <c r="B185" s="6" t="s">
        <v>22</v>
      </c>
      <c r="C185" s="7">
        <v>45839</v>
      </c>
      <c r="D185" s="6" t="s">
        <v>23</v>
      </c>
      <c r="E185" s="8">
        <v>430687</v>
      </c>
      <c r="F185" s="8">
        <v>221165</v>
      </c>
      <c r="G185" s="8">
        <v>19145</v>
      </c>
      <c r="H185" s="8">
        <v>1539</v>
      </c>
      <c r="I185" s="8">
        <v>8164</v>
      </c>
      <c r="J185" s="19">
        <f t="shared" si="5"/>
        <v>6.6981357691316426E-2</v>
      </c>
      <c r="K185" s="9">
        <v>13.04</v>
      </c>
      <c r="L185" s="10">
        <f t="shared" si="0"/>
        <v>6.6981357691316426E-2</v>
      </c>
    </row>
    <row r="186" spans="1:12" ht="14.25" customHeight="1" x14ac:dyDescent="0.3">
      <c r="A186" s="6" t="s">
        <v>210</v>
      </c>
      <c r="B186" s="6" t="s">
        <v>22</v>
      </c>
      <c r="C186" s="7">
        <v>45348</v>
      </c>
      <c r="D186" s="6" t="s">
        <v>20</v>
      </c>
      <c r="E186" s="8">
        <v>180438</v>
      </c>
      <c r="F186" s="8">
        <v>122609</v>
      </c>
      <c r="G186" s="8">
        <v>11422</v>
      </c>
      <c r="H186" s="8">
        <v>3176</v>
      </c>
      <c r="I186" s="8">
        <v>4525</v>
      </c>
      <c r="J186" s="19">
        <f t="shared" si="5"/>
        <v>0.10598100178454649</v>
      </c>
      <c r="K186" s="9">
        <v>15.6</v>
      </c>
      <c r="L186" s="10">
        <f t="shared" si="0"/>
        <v>0.10598100178454649</v>
      </c>
    </row>
    <row r="187" spans="1:12" ht="14.25" customHeight="1" x14ac:dyDescent="0.3">
      <c r="A187" s="6" t="s">
        <v>211</v>
      </c>
      <c r="B187" s="6" t="s">
        <v>30</v>
      </c>
      <c r="C187" s="7">
        <v>45675</v>
      </c>
      <c r="D187" s="6" t="s">
        <v>14</v>
      </c>
      <c r="E187" s="8">
        <v>14797</v>
      </c>
      <c r="F187" s="8">
        <v>8621</v>
      </c>
      <c r="G187" s="8">
        <v>192</v>
      </c>
      <c r="H187" s="8">
        <v>168</v>
      </c>
      <c r="I187" s="8">
        <v>35</v>
      </c>
      <c r="J187" s="19">
        <f t="shared" si="5"/>
        <v>2.6694600256808813E-2</v>
      </c>
      <c r="K187" s="9">
        <v>4.58</v>
      </c>
      <c r="L187" s="10">
        <f t="shared" si="0"/>
        <v>2.6694600256808813E-2</v>
      </c>
    </row>
    <row r="188" spans="1:12" ht="14.25" customHeight="1" x14ac:dyDescent="0.3">
      <c r="A188" s="6" t="s">
        <v>212</v>
      </c>
      <c r="B188" s="6" t="s">
        <v>22</v>
      </c>
      <c r="C188" s="7">
        <v>45308</v>
      </c>
      <c r="D188" s="6" t="s">
        <v>20</v>
      </c>
      <c r="E188" s="8">
        <v>69757</v>
      </c>
      <c r="F188" s="8">
        <v>40862</v>
      </c>
      <c r="G188" s="8">
        <v>3206</v>
      </c>
      <c r="H188" s="8">
        <v>1150</v>
      </c>
      <c r="I188" s="8">
        <v>1599</v>
      </c>
      <c r="J188" s="19">
        <f t="shared" si="5"/>
        <v>8.5367776710581017E-2</v>
      </c>
      <c r="K188" s="9">
        <v>14.57</v>
      </c>
      <c r="L188" s="10">
        <f t="shared" si="0"/>
        <v>8.5367776710581017E-2</v>
      </c>
    </row>
    <row r="189" spans="1:12" ht="14.25" customHeight="1" x14ac:dyDescent="0.3">
      <c r="A189" s="6" t="s">
        <v>213</v>
      </c>
      <c r="B189" s="6" t="s">
        <v>16</v>
      </c>
      <c r="C189" s="7">
        <v>45801</v>
      </c>
      <c r="D189" s="6" t="s">
        <v>20</v>
      </c>
      <c r="E189" s="8">
        <v>38300</v>
      </c>
      <c r="F189" s="8">
        <v>28274</v>
      </c>
      <c r="G189" s="8">
        <v>777</v>
      </c>
      <c r="H189" s="8">
        <v>327</v>
      </c>
      <c r="I189" s="8">
        <v>100</v>
      </c>
      <c r="J189" s="19">
        <f t="shared" si="5"/>
        <v>3.1436031331592687E-2</v>
      </c>
      <c r="K189" s="9">
        <v>4.26</v>
      </c>
      <c r="L189" s="10">
        <f t="shared" si="0"/>
        <v>3.1436031331592687E-2</v>
      </c>
    </row>
    <row r="190" spans="1:12" ht="14.25" customHeight="1" x14ac:dyDescent="0.3">
      <c r="A190" s="6" t="s">
        <v>214</v>
      </c>
      <c r="B190" s="6" t="s">
        <v>16</v>
      </c>
      <c r="C190" s="7">
        <v>45786</v>
      </c>
      <c r="D190" s="6" t="s">
        <v>20</v>
      </c>
      <c r="E190" s="8">
        <v>81586</v>
      </c>
      <c r="F190" s="8">
        <v>63381</v>
      </c>
      <c r="G190" s="8">
        <v>4259</v>
      </c>
      <c r="H190" s="8">
        <v>802</v>
      </c>
      <c r="I190" s="8">
        <v>173</v>
      </c>
      <c r="J190" s="19">
        <f t="shared" si="5"/>
        <v>6.4153163532959093E-2</v>
      </c>
      <c r="K190" s="9">
        <v>8.26</v>
      </c>
      <c r="L190" s="10">
        <f t="shared" si="0"/>
        <v>6.4153163532959093E-2</v>
      </c>
    </row>
    <row r="191" spans="1:12" ht="14.25" customHeight="1" x14ac:dyDescent="0.3">
      <c r="A191" s="6" t="s">
        <v>215</v>
      </c>
      <c r="B191" s="6" t="s">
        <v>22</v>
      </c>
      <c r="C191" s="7">
        <v>45488</v>
      </c>
      <c r="D191" s="6" t="s">
        <v>20</v>
      </c>
      <c r="E191" s="8">
        <v>97177</v>
      </c>
      <c r="F191" s="8">
        <v>52716</v>
      </c>
      <c r="G191" s="8">
        <v>5662</v>
      </c>
      <c r="H191" s="8">
        <v>309</v>
      </c>
      <c r="I191" s="8">
        <v>1859</v>
      </c>
      <c r="J191" s="19">
        <f t="shared" si="5"/>
        <v>8.0574621566831664E-2</v>
      </c>
      <c r="K191" s="9">
        <v>14.85</v>
      </c>
      <c r="L191" s="10">
        <f t="shared" si="0"/>
        <v>8.0574621566831664E-2</v>
      </c>
    </row>
    <row r="192" spans="1:12" ht="14.25" customHeight="1" x14ac:dyDescent="0.3">
      <c r="A192" s="6" t="s">
        <v>216</v>
      </c>
      <c r="B192" s="6" t="s">
        <v>30</v>
      </c>
      <c r="C192" s="7">
        <v>45935</v>
      </c>
      <c r="D192" s="6" t="s">
        <v>20</v>
      </c>
      <c r="E192" s="8">
        <v>18258</v>
      </c>
      <c r="F192" s="8">
        <v>9480</v>
      </c>
      <c r="G192" s="8">
        <v>373</v>
      </c>
      <c r="H192" s="8">
        <v>131</v>
      </c>
      <c r="I192" s="8">
        <v>52</v>
      </c>
      <c r="J192" s="19">
        <f t="shared" si="5"/>
        <v>3.0452404425457335E-2</v>
      </c>
      <c r="K192" s="9">
        <v>5.86</v>
      </c>
      <c r="L192" s="10">
        <f t="shared" si="0"/>
        <v>3.0452404425457335E-2</v>
      </c>
    </row>
    <row r="193" spans="1:12" ht="14.25" customHeight="1" x14ac:dyDescent="0.3">
      <c r="A193" s="6" t="s">
        <v>217</v>
      </c>
      <c r="B193" s="6" t="s">
        <v>22</v>
      </c>
      <c r="C193" s="7">
        <v>45969</v>
      </c>
      <c r="D193" s="6" t="s">
        <v>23</v>
      </c>
      <c r="E193" s="8">
        <v>157187</v>
      </c>
      <c r="F193" s="8">
        <v>56359</v>
      </c>
      <c r="G193" s="8">
        <v>4523</v>
      </c>
      <c r="H193" s="8">
        <v>1286</v>
      </c>
      <c r="I193" s="8">
        <v>2163</v>
      </c>
      <c r="J193" s="19">
        <f t="shared" si="5"/>
        <v>5.0716662319403007E-2</v>
      </c>
      <c r="K193" s="9">
        <v>14.15</v>
      </c>
      <c r="L193" s="10">
        <f t="shared" si="0"/>
        <v>5.0716662319403007E-2</v>
      </c>
    </row>
    <row r="194" spans="1:12" ht="14.25" customHeight="1" x14ac:dyDescent="0.3">
      <c r="A194" s="6" t="s">
        <v>218</v>
      </c>
      <c r="B194" s="6" t="s">
        <v>30</v>
      </c>
      <c r="C194" s="7">
        <v>45425</v>
      </c>
      <c r="D194" s="6" t="s">
        <v>14</v>
      </c>
      <c r="E194" s="8">
        <v>8356</v>
      </c>
      <c r="F194" s="8">
        <v>3947</v>
      </c>
      <c r="G194" s="8">
        <v>209</v>
      </c>
      <c r="H194" s="8">
        <v>94</v>
      </c>
      <c r="I194" s="8">
        <v>34</v>
      </c>
      <c r="J194" s="19">
        <f t="shared" si="5"/>
        <v>4.0330301579703208E-2</v>
      </c>
      <c r="K194" s="9">
        <v>8.5399999999999991</v>
      </c>
      <c r="L194" s="10">
        <f t="shared" si="0"/>
        <v>4.0330301579703208E-2</v>
      </c>
    </row>
    <row r="195" spans="1:12" ht="14.25" customHeight="1" x14ac:dyDescent="0.3">
      <c r="A195" s="6" t="s">
        <v>219</v>
      </c>
      <c r="B195" s="6" t="s">
        <v>16</v>
      </c>
      <c r="C195" s="7">
        <v>45531</v>
      </c>
      <c r="D195" s="6" t="s">
        <v>17</v>
      </c>
      <c r="E195" s="8">
        <v>34583</v>
      </c>
      <c r="F195" s="8">
        <v>25017</v>
      </c>
      <c r="G195" s="8">
        <v>1675</v>
      </c>
      <c r="H195" s="8">
        <v>194</v>
      </c>
      <c r="I195" s="8">
        <v>169</v>
      </c>
      <c r="J195" s="19">
        <f t="shared" ref="J195:J258" si="6">(G195+H195+I195)/E195</f>
        <v>5.8930688488563747E-2</v>
      </c>
      <c r="K195" s="9">
        <v>8.15</v>
      </c>
      <c r="L195" s="10">
        <f t="shared" si="0"/>
        <v>5.8930688488563747E-2</v>
      </c>
    </row>
    <row r="196" spans="1:12" ht="14.25" customHeight="1" x14ac:dyDescent="0.3">
      <c r="A196" s="6" t="s">
        <v>220</v>
      </c>
      <c r="B196" s="6" t="s">
        <v>16</v>
      </c>
      <c r="C196" s="7">
        <v>45587</v>
      </c>
      <c r="D196" s="6" t="s">
        <v>25</v>
      </c>
      <c r="E196" s="8">
        <v>36439</v>
      </c>
      <c r="F196" s="8">
        <v>25902</v>
      </c>
      <c r="G196" s="8">
        <v>1663</v>
      </c>
      <c r="H196" s="8">
        <v>143</v>
      </c>
      <c r="I196" s="8">
        <v>169</v>
      </c>
      <c r="J196" s="19">
        <f t="shared" si="6"/>
        <v>5.4200170147369574E-2</v>
      </c>
      <c r="K196" s="9">
        <v>7.62</v>
      </c>
      <c r="L196" s="10">
        <f t="shared" si="0"/>
        <v>5.4200170147369574E-2</v>
      </c>
    </row>
    <row r="197" spans="1:12" ht="14.25" customHeight="1" x14ac:dyDescent="0.3">
      <c r="A197" s="6" t="s">
        <v>221</v>
      </c>
      <c r="B197" s="6" t="s">
        <v>16</v>
      </c>
      <c r="C197" s="7">
        <v>45689</v>
      </c>
      <c r="D197" s="6" t="s">
        <v>25</v>
      </c>
      <c r="E197" s="8">
        <v>50268</v>
      </c>
      <c r="F197" s="8">
        <v>32640</v>
      </c>
      <c r="G197" s="8">
        <v>1559</v>
      </c>
      <c r="H197" s="8">
        <v>313</v>
      </c>
      <c r="I197" s="8">
        <v>34</v>
      </c>
      <c r="J197" s="19">
        <f t="shared" si="6"/>
        <v>3.7916766133524307E-2</v>
      </c>
      <c r="K197" s="9">
        <v>5.84</v>
      </c>
      <c r="L197" s="10">
        <f t="shared" si="0"/>
        <v>3.7916766133524307E-2</v>
      </c>
    </row>
    <row r="198" spans="1:12" ht="14.25" customHeight="1" x14ac:dyDescent="0.3">
      <c r="A198" s="6" t="s">
        <v>222</v>
      </c>
      <c r="B198" s="6" t="s">
        <v>22</v>
      </c>
      <c r="C198" s="7">
        <v>45841</v>
      </c>
      <c r="D198" s="6" t="s">
        <v>20</v>
      </c>
      <c r="E198" s="8">
        <v>185050</v>
      </c>
      <c r="F198" s="8">
        <v>80995</v>
      </c>
      <c r="G198" s="8">
        <v>6766</v>
      </c>
      <c r="H198" s="8">
        <v>1185</v>
      </c>
      <c r="I198" s="8">
        <v>3765</v>
      </c>
      <c r="J198" s="19">
        <f t="shared" si="6"/>
        <v>6.3312618211294247E-2</v>
      </c>
      <c r="K198" s="9">
        <v>14.47</v>
      </c>
      <c r="L198" s="10">
        <f t="shared" si="0"/>
        <v>6.3312618211294247E-2</v>
      </c>
    </row>
    <row r="199" spans="1:12" ht="14.25" customHeight="1" x14ac:dyDescent="0.3">
      <c r="A199" s="6" t="s">
        <v>223</v>
      </c>
      <c r="B199" s="6" t="s">
        <v>22</v>
      </c>
      <c r="C199" s="7">
        <v>45616</v>
      </c>
      <c r="D199" s="6" t="s">
        <v>23</v>
      </c>
      <c r="E199" s="8">
        <v>8500</v>
      </c>
      <c r="F199" s="8">
        <v>3932</v>
      </c>
      <c r="G199" s="8">
        <v>269</v>
      </c>
      <c r="H199" s="8">
        <v>68</v>
      </c>
      <c r="I199" s="8">
        <v>68</v>
      </c>
      <c r="J199" s="19">
        <f t="shared" si="6"/>
        <v>4.764705882352941E-2</v>
      </c>
      <c r="K199" s="9">
        <v>10.3</v>
      </c>
      <c r="L199" s="10">
        <f t="shared" si="0"/>
        <v>4.764705882352941E-2</v>
      </c>
    </row>
    <row r="200" spans="1:12" ht="14.25" customHeight="1" x14ac:dyDescent="0.3">
      <c r="A200" s="6" t="s">
        <v>224</v>
      </c>
      <c r="B200" s="6" t="s">
        <v>22</v>
      </c>
      <c r="C200" s="7">
        <v>45370</v>
      </c>
      <c r="D200" s="6" t="s">
        <v>23</v>
      </c>
      <c r="E200" s="8">
        <v>91908</v>
      </c>
      <c r="F200" s="8">
        <v>52531</v>
      </c>
      <c r="G200" s="8">
        <v>3626</v>
      </c>
      <c r="H200" s="8">
        <v>1542</v>
      </c>
      <c r="I200" s="8">
        <v>682</v>
      </c>
      <c r="J200" s="19">
        <f t="shared" si="6"/>
        <v>6.3650607128867998E-2</v>
      </c>
      <c r="K200" s="9">
        <v>11.14</v>
      </c>
      <c r="L200" s="10">
        <f t="shared" si="0"/>
        <v>6.3650607128867998E-2</v>
      </c>
    </row>
    <row r="201" spans="1:12" ht="14.25" customHeight="1" x14ac:dyDescent="0.3">
      <c r="A201" s="6" t="s">
        <v>225</v>
      </c>
      <c r="B201" s="6" t="s">
        <v>22</v>
      </c>
      <c r="C201" s="7">
        <v>45621</v>
      </c>
      <c r="D201" s="6" t="s">
        <v>23</v>
      </c>
      <c r="E201" s="8">
        <v>413749</v>
      </c>
      <c r="F201" s="8">
        <v>151849</v>
      </c>
      <c r="G201" s="8">
        <v>8225</v>
      </c>
      <c r="H201" s="8">
        <v>3789</v>
      </c>
      <c r="I201" s="8">
        <v>6535</v>
      </c>
      <c r="J201" s="19">
        <f t="shared" si="6"/>
        <v>4.4831528293723971E-2</v>
      </c>
      <c r="K201" s="9">
        <v>12.22</v>
      </c>
      <c r="L201" s="10">
        <f t="shared" si="0"/>
        <v>4.4831528293723971E-2</v>
      </c>
    </row>
    <row r="202" spans="1:12" ht="14.25" customHeight="1" x14ac:dyDescent="0.3">
      <c r="A202" s="6" t="s">
        <v>226</v>
      </c>
      <c r="B202" s="6" t="s">
        <v>22</v>
      </c>
      <c r="C202" s="7">
        <v>45837</v>
      </c>
      <c r="D202" s="6" t="s">
        <v>23</v>
      </c>
      <c r="E202" s="8">
        <v>9232</v>
      </c>
      <c r="F202" s="8">
        <v>5820</v>
      </c>
      <c r="G202" s="8">
        <v>537</v>
      </c>
      <c r="H202" s="8">
        <v>83</v>
      </c>
      <c r="I202" s="8">
        <v>63</v>
      </c>
      <c r="J202" s="19">
        <f t="shared" si="6"/>
        <v>7.3981802426343155E-2</v>
      </c>
      <c r="K202" s="9">
        <v>11.74</v>
      </c>
      <c r="L202" s="10">
        <f t="shared" si="0"/>
        <v>7.3981802426343155E-2</v>
      </c>
    </row>
    <row r="203" spans="1:12" ht="14.25" customHeight="1" x14ac:dyDescent="0.3">
      <c r="A203" s="6" t="s">
        <v>227</v>
      </c>
      <c r="B203" s="6" t="s">
        <v>30</v>
      </c>
      <c r="C203" s="7">
        <v>45636</v>
      </c>
      <c r="D203" s="6" t="s">
        <v>17</v>
      </c>
      <c r="E203" s="8">
        <v>11698</v>
      </c>
      <c r="F203" s="8">
        <v>6309</v>
      </c>
      <c r="G203" s="8">
        <v>309</v>
      </c>
      <c r="H203" s="8">
        <v>75</v>
      </c>
      <c r="I203" s="8">
        <v>89</v>
      </c>
      <c r="J203" s="19">
        <f t="shared" si="6"/>
        <v>4.0434262267054197E-2</v>
      </c>
      <c r="K203" s="9">
        <v>7.5</v>
      </c>
      <c r="L203" s="10">
        <f t="shared" si="0"/>
        <v>4.0434262267054197E-2</v>
      </c>
    </row>
    <row r="204" spans="1:12" ht="14.25" customHeight="1" x14ac:dyDescent="0.3">
      <c r="A204" s="6" t="s">
        <v>228</v>
      </c>
      <c r="B204" s="6" t="s">
        <v>22</v>
      </c>
      <c r="C204" s="7">
        <v>45866</v>
      </c>
      <c r="D204" s="6" t="s">
        <v>23</v>
      </c>
      <c r="E204" s="8">
        <v>224484</v>
      </c>
      <c r="F204" s="8">
        <v>155989</v>
      </c>
      <c r="G204" s="8">
        <v>12346</v>
      </c>
      <c r="H204" s="8">
        <v>838</v>
      </c>
      <c r="I204" s="8">
        <v>2127</v>
      </c>
      <c r="J204" s="19">
        <f t="shared" si="6"/>
        <v>6.820530639154683E-2</v>
      </c>
      <c r="K204" s="9">
        <v>9.82</v>
      </c>
      <c r="L204" s="10">
        <f t="shared" si="0"/>
        <v>6.820530639154683E-2</v>
      </c>
    </row>
    <row r="205" spans="1:12" ht="14.25" customHeight="1" x14ac:dyDescent="0.3">
      <c r="A205" s="6" t="s">
        <v>229</v>
      </c>
      <c r="B205" s="6" t="s">
        <v>22</v>
      </c>
      <c r="C205" s="7">
        <v>46004</v>
      </c>
      <c r="D205" s="6" t="s">
        <v>23</v>
      </c>
      <c r="E205" s="8">
        <v>199572</v>
      </c>
      <c r="F205" s="8">
        <v>69186</v>
      </c>
      <c r="G205" s="8">
        <v>2368</v>
      </c>
      <c r="H205" s="8">
        <v>369</v>
      </c>
      <c r="I205" s="8">
        <v>841</v>
      </c>
      <c r="J205" s="19">
        <f t="shared" si="6"/>
        <v>1.792836670474816E-2</v>
      </c>
      <c r="K205" s="9">
        <v>5.17</v>
      </c>
      <c r="L205" s="10">
        <f t="shared" si="0"/>
        <v>1.792836670474816E-2</v>
      </c>
    </row>
    <row r="206" spans="1:12" ht="14.25" customHeight="1" x14ac:dyDescent="0.3">
      <c r="A206" s="6" t="s">
        <v>230</v>
      </c>
      <c r="B206" s="6" t="s">
        <v>30</v>
      </c>
      <c r="C206" s="7">
        <v>45673</v>
      </c>
      <c r="D206" s="6" t="s">
        <v>14</v>
      </c>
      <c r="E206" s="8">
        <v>4192</v>
      </c>
      <c r="F206" s="8">
        <v>2166</v>
      </c>
      <c r="G206" s="8">
        <v>35</v>
      </c>
      <c r="H206" s="8">
        <v>19</v>
      </c>
      <c r="I206" s="8">
        <v>15</v>
      </c>
      <c r="J206" s="19">
        <f t="shared" si="6"/>
        <v>1.6459923664122137E-2</v>
      </c>
      <c r="K206" s="9">
        <v>3.19</v>
      </c>
      <c r="L206" s="10">
        <f t="shared" si="0"/>
        <v>1.6459923664122137E-2</v>
      </c>
    </row>
    <row r="207" spans="1:12" ht="14.25" customHeight="1" x14ac:dyDescent="0.3">
      <c r="A207" s="6" t="s">
        <v>231</v>
      </c>
      <c r="B207" s="6" t="s">
        <v>19</v>
      </c>
      <c r="C207" s="7">
        <v>45897</v>
      </c>
      <c r="D207" s="6" t="s">
        <v>17</v>
      </c>
      <c r="E207" s="8">
        <v>411</v>
      </c>
      <c r="F207" s="8">
        <v>283</v>
      </c>
      <c r="G207" s="8">
        <v>2</v>
      </c>
      <c r="H207" s="8">
        <v>2</v>
      </c>
      <c r="I207" s="8">
        <v>4</v>
      </c>
      <c r="J207" s="19">
        <f t="shared" si="6"/>
        <v>1.9464720194647202E-2</v>
      </c>
      <c r="K207" s="9">
        <v>2.83</v>
      </c>
      <c r="L207" s="10">
        <f t="shared" si="0"/>
        <v>1.9464720194647202E-2</v>
      </c>
    </row>
    <row r="208" spans="1:12" ht="14.25" customHeight="1" x14ac:dyDescent="0.3">
      <c r="A208" s="6" t="s">
        <v>232</v>
      </c>
      <c r="B208" s="6" t="s">
        <v>22</v>
      </c>
      <c r="C208" s="7">
        <v>45313</v>
      </c>
      <c r="D208" s="6" t="s">
        <v>20</v>
      </c>
      <c r="E208" s="8">
        <v>317455</v>
      </c>
      <c r="F208" s="8">
        <v>177637</v>
      </c>
      <c r="G208" s="8">
        <v>10516</v>
      </c>
      <c r="H208" s="8">
        <v>4747</v>
      </c>
      <c r="I208" s="8">
        <v>5219</v>
      </c>
      <c r="J208" s="19">
        <f t="shared" si="6"/>
        <v>6.4519380699626719E-2</v>
      </c>
      <c r="K208" s="9">
        <v>11.53</v>
      </c>
      <c r="L208" s="10">
        <f t="shared" si="0"/>
        <v>6.4519380699626719E-2</v>
      </c>
    </row>
    <row r="209" spans="1:12" ht="14.25" customHeight="1" x14ac:dyDescent="0.3">
      <c r="A209" s="6" t="s">
        <v>233</v>
      </c>
      <c r="B209" s="6" t="s">
        <v>19</v>
      </c>
      <c r="C209" s="7">
        <v>45468</v>
      </c>
      <c r="D209" s="6" t="s">
        <v>14</v>
      </c>
      <c r="E209" s="8">
        <v>23747</v>
      </c>
      <c r="F209" s="8">
        <v>13149</v>
      </c>
      <c r="G209" s="8">
        <v>283</v>
      </c>
      <c r="H209" s="8">
        <v>76</v>
      </c>
      <c r="I209" s="8">
        <v>215</v>
      </c>
      <c r="J209" s="19">
        <f t="shared" si="6"/>
        <v>2.4171474291489452E-2</v>
      </c>
      <c r="K209" s="9">
        <v>4.37</v>
      </c>
      <c r="L209" s="10">
        <f t="shared" si="0"/>
        <v>2.4171474291489452E-2</v>
      </c>
    </row>
    <row r="210" spans="1:12" ht="14.25" customHeight="1" x14ac:dyDescent="0.3">
      <c r="A210" s="6" t="s">
        <v>234</v>
      </c>
      <c r="B210" s="6" t="s">
        <v>22</v>
      </c>
      <c r="C210" s="7">
        <v>46007</v>
      </c>
      <c r="D210" s="6" t="s">
        <v>20</v>
      </c>
      <c r="E210" s="8">
        <v>272386</v>
      </c>
      <c r="F210" s="8">
        <v>146612</v>
      </c>
      <c r="G210" s="8">
        <v>6631</v>
      </c>
      <c r="H210" s="8">
        <v>1981</v>
      </c>
      <c r="I210" s="8">
        <v>1699</v>
      </c>
      <c r="J210" s="19">
        <f t="shared" si="6"/>
        <v>3.7854368433032533E-2</v>
      </c>
      <c r="K210" s="9">
        <v>7.03</v>
      </c>
      <c r="L210" s="10">
        <f t="shared" si="0"/>
        <v>3.7854368433032533E-2</v>
      </c>
    </row>
    <row r="211" spans="1:12" ht="14.25" customHeight="1" x14ac:dyDescent="0.3">
      <c r="A211" s="6" t="s">
        <v>235</v>
      </c>
      <c r="B211" s="6" t="s">
        <v>16</v>
      </c>
      <c r="C211" s="7">
        <v>45514</v>
      </c>
      <c r="D211" s="6" t="s">
        <v>25</v>
      </c>
      <c r="E211" s="8">
        <v>20635</v>
      </c>
      <c r="F211" s="8">
        <v>14246</v>
      </c>
      <c r="G211" s="8">
        <v>412</v>
      </c>
      <c r="H211" s="8">
        <v>41</v>
      </c>
      <c r="I211" s="8">
        <v>94</v>
      </c>
      <c r="J211" s="19">
        <f t="shared" si="6"/>
        <v>2.6508359583232371E-2</v>
      </c>
      <c r="K211" s="9">
        <v>3.84</v>
      </c>
      <c r="L211" s="10">
        <f t="shared" si="0"/>
        <v>2.6508359583232371E-2</v>
      </c>
    </row>
    <row r="212" spans="1:12" ht="14.25" customHeight="1" x14ac:dyDescent="0.3">
      <c r="A212" s="6" t="s">
        <v>236</v>
      </c>
      <c r="B212" s="6" t="s">
        <v>22</v>
      </c>
      <c r="C212" s="7">
        <v>45422</v>
      </c>
      <c r="D212" s="6" t="s">
        <v>20</v>
      </c>
      <c r="E212" s="8">
        <v>512834</v>
      </c>
      <c r="F212" s="8">
        <v>214531</v>
      </c>
      <c r="G212" s="8">
        <v>20672</v>
      </c>
      <c r="H212" s="8">
        <v>2667</v>
      </c>
      <c r="I212" s="8">
        <v>9009</v>
      </c>
      <c r="J212" s="19">
        <f t="shared" si="6"/>
        <v>6.3076941076449691E-2</v>
      </c>
      <c r="K212" s="9">
        <v>15.08</v>
      </c>
      <c r="L212" s="10">
        <f t="shared" si="0"/>
        <v>6.3076941076449691E-2</v>
      </c>
    </row>
    <row r="213" spans="1:12" ht="14.25" customHeight="1" x14ac:dyDescent="0.3">
      <c r="A213" s="6" t="s">
        <v>237</v>
      </c>
      <c r="B213" s="6" t="s">
        <v>16</v>
      </c>
      <c r="C213" s="7">
        <v>45392</v>
      </c>
      <c r="D213" s="6" t="s">
        <v>20</v>
      </c>
      <c r="E213" s="8">
        <v>81281</v>
      </c>
      <c r="F213" s="8">
        <v>55901</v>
      </c>
      <c r="G213" s="8">
        <v>3726</v>
      </c>
      <c r="H213" s="8">
        <v>831</v>
      </c>
      <c r="I213" s="8">
        <v>268</v>
      </c>
      <c r="J213" s="19">
        <f t="shared" si="6"/>
        <v>5.936196651123879E-2</v>
      </c>
      <c r="K213" s="9">
        <v>8.6300000000000008</v>
      </c>
      <c r="L213" s="10">
        <f t="shared" si="0"/>
        <v>5.936196651123879E-2</v>
      </c>
    </row>
    <row r="214" spans="1:12" ht="14.25" customHeight="1" x14ac:dyDescent="0.3">
      <c r="A214" s="6" t="s">
        <v>238</v>
      </c>
      <c r="B214" s="6" t="s">
        <v>30</v>
      </c>
      <c r="C214" s="7">
        <v>45817</v>
      </c>
      <c r="D214" s="6" t="s">
        <v>17</v>
      </c>
      <c r="E214" s="8">
        <v>9256</v>
      </c>
      <c r="F214" s="8">
        <v>6568</v>
      </c>
      <c r="G214" s="8">
        <v>314</v>
      </c>
      <c r="H214" s="8">
        <v>111</v>
      </c>
      <c r="I214" s="8">
        <v>79</v>
      </c>
      <c r="J214" s="19">
        <f t="shared" si="6"/>
        <v>5.445116681071737E-2</v>
      </c>
      <c r="K214" s="9">
        <v>7.67</v>
      </c>
      <c r="L214" s="10">
        <f t="shared" si="0"/>
        <v>5.445116681071737E-2</v>
      </c>
    </row>
    <row r="215" spans="1:12" ht="14.25" customHeight="1" x14ac:dyDescent="0.3">
      <c r="A215" s="6" t="s">
        <v>239</v>
      </c>
      <c r="B215" s="6" t="s">
        <v>30</v>
      </c>
      <c r="C215" s="7">
        <v>45525</v>
      </c>
      <c r="D215" s="6" t="s">
        <v>17</v>
      </c>
      <c r="E215" s="8">
        <v>19703</v>
      </c>
      <c r="F215" s="8">
        <v>15340</v>
      </c>
      <c r="G215" s="8">
        <v>703</v>
      </c>
      <c r="H215" s="8">
        <v>148</v>
      </c>
      <c r="I215" s="8">
        <v>216</v>
      </c>
      <c r="J215" s="19">
        <f t="shared" si="6"/>
        <v>5.4154189717301932E-2</v>
      </c>
      <c r="K215" s="9">
        <v>6.96</v>
      </c>
      <c r="L215" s="10">
        <f t="shared" si="0"/>
        <v>5.4154189717301932E-2</v>
      </c>
    </row>
    <row r="216" spans="1:12" ht="14.25" customHeight="1" x14ac:dyDescent="0.3">
      <c r="A216" s="6" t="s">
        <v>240</v>
      </c>
      <c r="B216" s="6" t="s">
        <v>16</v>
      </c>
      <c r="C216" s="7">
        <v>45876</v>
      </c>
      <c r="D216" s="6" t="s">
        <v>25</v>
      </c>
      <c r="E216" s="8">
        <v>55527</v>
      </c>
      <c r="F216" s="8">
        <v>38154</v>
      </c>
      <c r="G216" s="8">
        <v>2627</v>
      </c>
      <c r="H216" s="8">
        <v>441</v>
      </c>
      <c r="I216" s="8">
        <v>77</v>
      </c>
      <c r="J216" s="19">
        <f t="shared" si="6"/>
        <v>5.6639112503826965E-2</v>
      </c>
      <c r="K216" s="9">
        <v>8.24</v>
      </c>
      <c r="L216" s="10">
        <f t="shared" si="0"/>
        <v>5.6639112503826965E-2</v>
      </c>
    </row>
    <row r="217" spans="1:12" ht="14.25" customHeight="1" x14ac:dyDescent="0.3">
      <c r="A217" s="6" t="s">
        <v>241</v>
      </c>
      <c r="B217" s="6" t="s">
        <v>16</v>
      </c>
      <c r="C217" s="7">
        <v>45941</v>
      </c>
      <c r="D217" s="6" t="s">
        <v>17</v>
      </c>
      <c r="E217" s="8">
        <v>2387</v>
      </c>
      <c r="F217" s="8">
        <v>1855</v>
      </c>
      <c r="G217" s="8">
        <v>38</v>
      </c>
      <c r="H217" s="8">
        <v>17</v>
      </c>
      <c r="I217" s="8">
        <v>11</v>
      </c>
      <c r="J217" s="19">
        <f t="shared" si="6"/>
        <v>2.7649769585253458E-2</v>
      </c>
      <c r="K217" s="9">
        <v>3.56</v>
      </c>
      <c r="L217" s="10">
        <f t="shared" si="0"/>
        <v>2.7649769585253458E-2</v>
      </c>
    </row>
    <row r="218" spans="1:12" ht="14.25" customHeight="1" x14ac:dyDescent="0.3">
      <c r="A218" s="6" t="s">
        <v>242</v>
      </c>
      <c r="B218" s="6" t="s">
        <v>16</v>
      </c>
      <c r="C218" s="7">
        <v>45330</v>
      </c>
      <c r="D218" s="6" t="s">
        <v>20</v>
      </c>
      <c r="E218" s="8">
        <v>84477</v>
      </c>
      <c r="F218" s="8">
        <v>42276</v>
      </c>
      <c r="G218" s="8">
        <v>1552</v>
      </c>
      <c r="H218" s="8">
        <v>374</v>
      </c>
      <c r="I218" s="8">
        <v>331</v>
      </c>
      <c r="J218" s="19">
        <f t="shared" si="6"/>
        <v>2.6717331344626349E-2</v>
      </c>
      <c r="K218" s="9">
        <v>5.34</v>
      </c>
      <c r="L218" s="10">
        <f t="shared" si="0"/>
        <v>2.6717331344626349E-2</v>
      </c>
    </row>
    <row r="219" spans="1:12" ht="14.25" customHeight="1" x14ac:dyDescent="0.3">
      <c r="A219" s="6" t="s">
        <v>243</v>
      </c>
      <c r="B219" s="6" t="s">
        <v>16</v>
      </c>
      <c r="C219" s="7">
        <v>45312</v>
      </c>
      <c r="D219" s="6" t="s">
        <v>20</v>
      </c>
      <c r="E219" s="8">
        <v>21725</v>
      </c>
      <c r="F219" s="8">
        <v>10248</v>
      </c>
      <c r="G219" s="8">
        <v>233</v>
      </c>
      <c r="H219" s="8">
        <v>103</v>
      </c>
      <c r="I219" s="8">
        <v>87</v>
      </c>
      <c r="J219" s="19">
        <f t="shared" si="6"/>
        <v>1.947065592635213E-2</v>
      </c>
      <c r="K219" s="9">
        <v>4.13</v>
      </c>
      <c r="L219" s="10">
        <f t="shared" si="0"/>
        <v>1.947065592635213E-2</v>
      </c>
    </row>
    <row r="220" spans="1:12" ht="14.25" customHeight="1" x14ac:dyDescent="0.3">
      <c r="A220" s="6" t="s">
        <v>244</v>
      </c>
      <c r="B220" s="6" t="s">
        <v>30</v>
      </c>
      <c r="C220" s="7">
        <v>45584</v>
      </c>
      <c r="D220" s="6" t="s">
        <v>20</v>
      </c>
      <c r="E220" s="8">
        <v>19152</v>
      </c>
      <c r="F220" s="8">
        <v>8690</v>
      </c>
      <c r="G220" s="8">
        <v>181</v>
      </c>
      <c r="H220" s="8">
        <v>50</v>
      </c>
      <c r="I220" s="8">
        <v>69</v>
      </c>
      <c r="J220" s="19">
        <f t="shared" si="6"/>
        <v>1.5664160401002505E-2</v>
      </c>
      <c r="K220" s="9">
        <v>3.45</v>
      </c>
      <c r="L220" s="10">
        <f t="shared" si="0"/>
        <v>1.5664160401002505E-2</v>
      </c>
    </row>
    <row r="221" spans="1:12" ht="14.25" customHeight="1" x14ac:dyDescent="0.3">
      <c r="A221" s="6" t="s">
        <v>245</v>
      </c>
      <c r="B221" s="6" t="s">
        <v>16</v>
      </c>
      <c r="C221" s="7">
        <v>45627</v>
      </c>
      <c r="D221" s="6" t="s">
        <v>23</v>
      </c>
      <c r="E221" s="8">
        <v>69366</v>
      </c>
      <c r="F221" s="8">
        <v>28833</v>
      </c>
      <c r="G221" s="8">
        <v>797</v>
      </c>
      <c r="H221" s="8">
        <v>111</v>
      </c>
      <c r="I221" s="8">
        <v>260</v>
      </c>
      <c r="J221" s="19">
        <f t="shared" si="6"/>
        <v>1.6838220453824642E-2</v>
      </c>
      <c r="K221" s="9">
        <v>4.05</v>
      </c>
      <c r="L221" s="10">
        <f t="shared" si="0"/>
        <v>1.6838220453824642E-2</v>
      </c>
    </row>
    <row r="222" spans="1:12" ht="14.25" customHeight="1" x14ac:dyDescent="0.3">
      <c r="A222" s="6" t="s">
        <v>246</v>
      </c>
      <c r="B222" s="6" t="s">
        <v>22</v>
      </c>
      <c r="C222" s="7">
        <v>46014</v>
      </c>
      <c r="D222" s="6" t="s">
        <v>20</v>
      </c>
      <c r="E222" s="8">
        <v>309128</v>
      </c>
      <c r="F222" s="8">
        <v>121115</v>
      </c>
      <c r="G222" s="8">
        <v>6789</v>
      </c>
      <c r="H222" s="8">
        <v>2965</v>
      </c>
      <c r="I222" s="8">
        <v>5670</v>
      </c>
      <c r="J222" s="19">
        <f t="shared" si="6"/>
        <v>4.9895189047902487E-2</v>
      </c>
      <c r="K222" s="9">
        <v>12.74</v>
      </c>
      <c r="L222" s="10">
        <f t="shared" si="0"/>
        <v>4.9895189047902487E-2</v>
      </c>
    </row>
    <row r="223" spans="1:12" ht="14.25" customHeight="1" x14ac:dyDescent="0.3">
      <c r="A223" s="6" t="s">
        <v>247</v>
      </c>
      <c r="B223" s="6" t="s">
        <v>16</v>
      </c>
      <c r="C223" s="7">
        <v>45884</v>
      </c>
      <c r="D223" s="6" t="s">
        <v>25</v>
      </c>
      <c r="E223" s="8">
        <v>35463</v>
      </c>
      <c r="F223" s="8">
        <v>16917</v>
      </c>
      <c r="G223" s="8">
        <v>948</v>
      </c>
      <c r="H223" s="8">
        <v>107</v>
      </c>
      <c r="I223" s="8">
        <v>99</v>
      </c>
      <c r="J223" s="19">
        <f t="shared" si="6"/>
        <v>3.2540958181766909E-2</v>
      </c>
      <c r="K223" s="9">
        <v>6.82</v>
      </c>
      <c r="L223" s="10">
        <f t="shared" si="0"/>
        <v>3.2540958181766909E-2</v>
      </c>
    </row>
    <row r="224" spans="1:12" ht="14.25" customHeight="1" x14ac:dyDescent="0.3">
      <c r="A224" s="6" t="s">
        <v>248</v>
      </c>
      <c r="B224" s="6" t="s">
        <v>22</v>
      </c>
      <c r="C224" s="7">
        <v>45502</v>
      </c>
      <c r="D224" s="6" t="s">
        <v>23</v>
      </c>
      <c r="E224" s="8">
        <v>346346</v>
      </c>
      <c r="F224" s="8">
        <v>130370</v>
      </c>
      <c r="G224" s="8">
        <v>12843</v>
      </c>
      <c r="H224" s="8">
        <v>1781</v>
      </c>
      <c r="I224" s="8">
        <v>5513</v>
      </c>
      <c r="J224" s="19">
        <f t="shared" si="6"/>
        <v>5.8141280684633284E-2</v>
      </c>
      <c r="K224" s="9">
        <v>15.45</v>
      </c>
      <c r="L224" s="10">
        <f t="shared" si="0"/>
        <v>5.8141280684633284E-2</v>
      </c>
    </row>
    <row r="225" spans="1:12" ht="14.25" customHeight="1" x14ac:dyDescent="0.3">
      <c r="A225" s="6" t="s">
        <v>249</v>
      </c>
      <c r="B225" s="6" t="s">
        <v>13</v>
      </c>
      <c r="C225" s="7">
        <v>45599</v>
      </c>
      <c r="D225" s="6" t="s">
        <v>17</v>
      </c>
      <c r="E225" s="8">
        <v>1243</v>
      </c>
      <c r="F225" s="8">
        <v>485</v>
      </c>
      <c r="G225" s="8">
        <v>24</v>
      </c>
      <c r="H225" s="8">
        <v>9</v>
      </c>
      <c r="I225" s="8">
        <v>9</v>
      </c>
      <c r="J225" s="19">
        <f t="shared" si="6"/>
        <v>3.3789219629927592E-2</v>
      </c>
      <c r="K225" s="9">
        <v>8.66</v>
      </c>
      <c r="L225" s="10">
        <f t="shared" si="0"/>
        <v>3.3789219629927592E-2</v>
      </c>
    </row>
    <row r="226" spans="1:12" ht="14.25" customHeight="1" x14ac:dyDescent="0.3">
      <c r="A226" s="6" t="s">
        <v>250</v>
      </c>
      <c r="B226" s="6" t="s">
        <v>22</v>
      </c>
      <c r="C226" s="7">
        <v>45359</v>
      </c>
      <c r="D226" s="6" t="s">
        <v>23</v>
      </c>
      <c r="E226" s="8">
        <v>67913</v>
      </c>
      <c r="F226" s="8">
        <v>33045</v>
      </c>
      <c r="G226" s="8">
        <v>2727</v>
      </c>
      <c r="H226" s="8">
        <v>402</v>
      </c>
      <c r="I226" s="8">
        <v>1198</v>
      </c>
      <c r="J226" s="19">
        <f t="shared" si="6"/>
        <v>6.3713869215025101E-2</v>
      </c>
      <c r="K226" s="9">
        <v>13.09</v>
      </c>
      <c r="L226" s="10">
        <f t="shared" si="0"/>
        <v>6.3713869215025101E-2</v>
      </c>
    </row>
    <row r="227" spans="1:12" ht="14.25" customHeight="1" x14ac:dyDescent="0.3">
      <c r="A227" s="6" t="s">
        <v>251</v>
      </c>
      <c r="B227" s="6" t="s">
        <v>16</v>
      </c>
      <c r="C227" s="7">
        <v>45610</v>
      </c>
      <c r="D227" s="6" t="s">
        <v>17</v>
      </c>
      <c r="E227" s="8">
        <v>22677</v>
      </c>
      <c r="F227" s="8">
        <v>15868</v>
      </c>
      <c r="G227" s="8">
        <v>334</v>
      </c>
      <c r="H227" s="8">
        <v>211</v>
      </c>
      <c r="I227" s="8">
        <v>112</v>
      </c>
      <c r="J227" s="19">
        <f t="shared" si="6"/>
        <v>2.8972086254795609E-2</v>
      </c>
      <c r="K227" s="9">
        <v>4.1399999999999997</v>
      </c>
      <c r="L227" s="10">
        <f t="shared" si="0"/>
        <v>2.8972086254795609E-2</v>
      </c>
    </row>
    <row r="228" spans="1:12" ht="14.25" customHeight="1" x14ac:dyDescent="0.3">
      <c r="A228" s="6" t="s">
        <v>252</v>
      </c>
      <c r="B228" s="6" t="s">
        <v>16</v>
      </c>
      <c r="C228" s="7">
        <v>45419</v>
      </c>
      <c r="D228" s="6" t="s">
        <v>23</v>
      </c>
      <c r="E228" s="8">
        <v>69409</v>
      </c>
      <c r="F228" s="8">
        <v>48074</v>
      </c>
      <c r="G228" s="8">
        <v>1798</v>
      </c>
      <c r="H228" s="8">
        <v>526</v>
      </c>
      <c r="I228" s="8">
        <v>444</v>
      </c>
      <c r="J228" s="19">
        <f t="shared" si="6"/>
        <v>3.9879554524629372E-2</v>
      </c>
      <c r="K228" s="9">
        <v>5.76</v>
      </c>
      <c r="L228" s="10">
        <f t="shared" si="0"/>
        <v>3.9879554524629372E-2</v>
      </c>
    </row>
    <row r="229" spans="1:12" ht="14.25" customHeight="1" x14ac:dyDescent="0.3">
      <c r="A229" s="6" t="s">
        <v>253</v>
      </c>
      <c r="B229" s="6" t="s">
        <v>16</v>
      </c>
      <c r="C229" s="7">
        <v>45928</v>
      </c>
      <c r="D229" s="6" t="s">
        <v>23</v>
      </c>
      <c r="E229" s="8">
        <v>84665</v>
      </c>
      <c r="F229" s="8">
        <v>39276</v>
      </c>
      <c r="G229" s="8">
        <v>2976</v>
      </c>
      <c r="H229" s="8">
        <v>361</v>
      </c>
      <c r="I229" s="8">
        <v>291</v>
      </c>
      <c r="J229" s="19">
        <f t="shared" si="6"/>
        <v>4.2851237229079311E-2</v>
      </c>
      <c r="K229" s="9">
        <v>9.24</v>
      </c>
      <c r="L229" s="10">
        <f t="shared" si="0"/>
        <v>4.2851237229079311E-2</v>
      </c>
    </row>
    <row r="230" spans="1:12" ht="14.25" customHeight="1" x14ac:dyDescent="0.3">
      <c r="A230" s="6" t="s">
        <v>254</v>
      </c>
      <c r="B230" s="6" t="s">
        <v>16</v>
      </c>
      <c r="C230" s="7">
        <v>45564</v>
      </c>
      <c r="D230" s="6" t="s">
        <v>20</v>
      </c>
      <c r="E230" s="8">
        <v>69804</v>
      </c>
      <c r="F230" s="8">
        <v>44744</v>
      </c>
      <c r="G230" s="8">
        <v>2608</v>
      </c>
      <c r="H230" s="8">
        <v>114</v>
      </c>
      <c r="I230" s="8">
        <v>104</v>
      </c>
      <c r="J230" s="19">
        <f t="shared" si="6"/>
        <v>4.0484785972150591E-2</v>
      </c>
      <c r="K230" s="9">
        <v>6.32</v>
      </c>
      <c r="L230" s="10">
        <f t="shared" si="0"/>
        <v>4.0484785972150591E-2</v>
      </c>
    </row>
    <row r="231" spans="1:12" ht="14.25" customHeight="1" x14ac:dyDescent="0.3">
      <c r="A231" s="6" t="s">
        <v>255</v>
      </c>
      <c r="B231" s="6" t="s">
        <v>30</v>
      </c>
      <c r="C231" s="7">
        <v>46003</v>
      </c>
      <c r="D231" s="6" t="s">
        <v>17</v>
      </c>
      <c r="E231" s="8">
        <v>12708</v>
      </c>
      <c r="F231" s="8">
        <v>7249</v>
      </c>
      <c r="G231" s="8">
        <v>182</v>
      </c>
      <c r="H231" s="8">
        <v>120</v>
      </c>
      <c r="I231" s="8">
        <v>98</v>
      </c>
      <c r="J231" s="19">
        <f t="shared" si="6"/>
        <v>3.147623544224111E-2</v>
      </c>
      <c r="K231" s="9">
        <v>5.52</v>
      </c>
      <c r="L231" s="10">
        <f t="shared" si="0"/>
        <v>3.147623544224111E-2</v>
      </c>
    </row>
    <row r="232" spans="1:12" ht="14.25" customHeight="1" x14ac:dyDescent="0.3">
      <c r="A232" s="6" t="s">
        <v>256</v>
      </c>
      <c r="B232" s="6" t="s">
        <v>16</v>
      </c>
      <c r="C232" s="7">
        <v>45822</v>
      </c>
      <c r="D232" s="6" t="s">
        <v>23</v>
      </c>
      <c r="E232" s="8">
        <v>25969</v>
      </c>
      <c r="F232" s="8">
        <v>19451</v>
      </c>
      <c r="G232" s="8">
        <v>1525</v>
      </c>
      <c r="H232" s="8">
        <v>137</v>
      </c>
      <c r="I232" s="8">
        <v>120</v>
      </c>
      <c r="J232" s="19">
        <f t="shared" si="6"/>
        <v>6.862027802379761E-2</v>
      </c>
      <c r="K232" s="9">
        <v>9.16</v>
      </c>
      <c r="L232" s="10">
        <f t="shared" si="0"/>
        <v>6.862027802379761E-2</v>
      </c>
    </row>
    <row r="233" spans="1:12" ht="14.25" customHeight="1" x14ac:dyDescent="0.3">
      <c r="A233" s="6" t="s">
        <v>257</v>
      </c>
      <c r="B233" s="6" t="s">
        <v>13</v>
      </c>
      <c r="C233" s="7">
        <v>45293</v>
      </c>
      <c r="D233" s="6" t="s">
        <v>14</v>
      </c>
      <c r="E233" s="8">
        <v>24835</v>
      </c>
      <c r="F233" s="8">
        <v>13405</v>
      </c>
      <c r="G233" s="8">
        <v>446</v>
      </c>
      <c r="H233" s="8">
        <v>139</v>
      </c>
      <c r="I233" s="8">
        <v>131</v>
      </c>
      <c r="J233" s="19">
        <f t="shared" si="6"/>
        <v>2.8830279846990135E-2</v>
      </c>
      <c r="K233" s="9">
        <v>5.34</v>
      </c>
      <c r="L233" s="10">
        <f t="shared" si="0"/>
        <v>2.8830279846990135E-2</v>
      </c>
    </row>
    <row r="234" spans="1:12" ht="14.25" customHeight="1" x14ac:dyDescent="0.3">
      <c r="A234" s="6" t="s">
        <v>258</v>
      </c>
      <c r="B234" s="6" t="s">
        <v>16</v>
      </c>
      <c r="C234" s="7">
        <v>45936</v>
      </c>
      <c r="D234" s="6" t="s">
        <v>20</v>
      </c>
      <c r="E234" s="8">
        <v>69623</v>
      </c>
      <c r="F234" s="8">
        <v>43901</v>
      </c>
      <c r="G234" s="8">
        <v>2257</v>
      </c>
      <c r="H234" s="8">
        <v>589</v>
      </c>
      <c r="I234" s="8">
        <v>45</v>
      </c>
      <c r="J234" s="19">
        <f t="shared" si="6"/>
        <v>4.1523634431150626E-2</v>
      </c>
      <c r="K234" s="9">
        <v>6.59</v>
      </c>
      <c r="L234" s="10">
        <f t="shared" si="0"/>
        <v>4.1523634431150626E-2</v>
      </c>
    </row>
    <row r="235" spans="1:12" ht="14.25" customHeight="1" x14ac:dyDescent="0.3">
      <c r="A235" s="6" t="s">
        <v>259</v>
      </c>
      <c r="B235" s="6" t="s">
        <v>16</v>
      </c>
      <c r="C235" s="7">
        <v>45691</v>
      </c>
      <c r="D235" s="6" t="s">
        <v>25</v>
      </c>
      <c r="E235" s="8">
        <v>36545</v>
      </c>
      <c r="F235" s="8">
        <v>18868</v>
      </c>
      <c r="G235" s="8">
        <v>832</v>
      </c>
      <c r="H235" s="8">
        <v>167</v>
      </c>
      <c r="I235" s="8">
        <v>73</v>
      </c>
      <c r="J235" s="19">
        <f t="shared" si="6"/>
        <v>2.9333698180325624E-2</v>
      </c>
      <c r="K235" s="9">
        <v>5.68</v>
      </c>
      <c r="L235" s="10">
        <f t="shared" si="0"/>
        <v>2.9333698180325624E-2</v>
      </c>
    </row>
    <row r="236" spans="1:12" ht="14.25" customHeight="1" x14ac:dyDescent="0.3">
      <c r="A236" s="6" t="s">
        <v>260</v>
      </c>
      <c r="B236" s="6" t="s">
        <v>13</v>
      </c>
      <c r="C236" s="7">
        <v>45734</v>
      </c>
      <c r="D236" s="6" t="s">
        <v>20</v>
      </c>
      <c r="E236" s="8">
        <v>12513</v>
      </c>
      <c r="F236" s="8">
        <v>4472</v>
      </c>
      <c r="G236" s="8">
        <v>199</v>
      </c>
      <c r="H236" s="8">
        <v>36</v>
      </c>
      <c r="I236" s="8">
        <v>127</v>
      </c>
      <c r="J236" s="19">
        <f t="shared" si="6"/>
        <v>2.8929912890593781E-2</v>
      </c>
      <c r="K236" s="9">
        <v>8.09</v>
      </c>
      <c r="L236" s="10">
        <f t="shared" si="0"/>
        <v>2.8929912890593781E-2</v>
      </c>
    </row>
    <row r="237" spans="1:12" ht="14.25" customHeight="1" x14ac:dyDescent="0.3">
      <c r="A237" s="6" t="s">
        <v>261</v>
      </c>
      <c r="B237" s="6" t="s">
        <v>13</v>
      </c>
      <c r="C237" s="7">
        <v>45305</v>
      </c>
      <c r="D237" s="6" t="s">
        <v>25</v>
      </c>
      <c r="E237" s="8">
        <v>33475</v>
      </c>
      <c r="F237" s="8">
        <v>17487</v>
      </c>
      <c r="G237" s="8">
        <v>781</v>
      </c>
      <c r="H237" s="8">
        <v>61</v>
      </c>
      <c r="I237" s="8">
        <v>302</v>
      </c>
      <c r="J237" s="19">
        <f t="shared" si="6"/>
        <v>3.4174757281553399E-2</v>
      </c>
      <c r="K237" s="9">
        <v>6.54</v>
      </c>
      <c r="L237" s="10">
        <f t="shared" si="0"/>
        <v>3.4174757281553399E-2</v>
      </c>
    </row>
    <row r="238" spans="1:12" ht="14.25" customHeight="1" x14ac:dyDescent="0.3">
      <c r="A238" s="6" t="s">
        <v>262</v>
      </c>
      <c r="B238" s="6" t="s">
        <v>13</v>
      </c>
      <c r="C238" s="7">
        <v>45655</v>
      </c>
      <c r="D238" s="6" t="s">
        <v>25</v>
      </c>
      <c r="E238" s="8">
        <v>32149</v>
      </c>
      <c r="F238" s="8">
        <v>17932</v>
      </c>
      <c r="G238" s="8">
        <v>199</v>
      </c>
      <c r="H238" s="8">
        <v>219</v>
      </c>
      <c r="I238" s="8">
        <v>496</v>
      </c>
      <c r="J238" s="19">
        <f t="shared" si="6"/>
        <v>2.8430122243304611E-2</v>
      </c>
      <c r="K238" s="9">
        <v>5.0999999999999996</v>
      </c>
      <c r="L238" s="10">
        <f t="shared" si="0"/>
        <v>2.8430122243304611E-2</v>
      </c>
    </row>
    <row r="239" spans="1:12" ht="14.25" customHeight="1" x14ac:dyDescent="0.3">
      <c r="A239" s="6" t="s">
        <v>263</v>
      </c>
      <c r="B239" s="6" t="s">
        <v>13</v>
      </c>
      <c r="C239" s="7">
        <v>45865</v>
      </c>
      <c r="D239" s="6" t="s">
        <v>20</v>
      </c>
      <c r="E239" s="8">
        <v>59311</v>
      </c>
      <c r="F239" s="8">
        <v>38645</v>
      </c>
      <c r="G239" s="8">
        <v>1427</v>
      </c>
      <c r="H239" s="8">
        <v>178</v>
      </c>
      <c r="I239" s="8">
        <v>1097</v>
      </c>
      <c r="J239" s="19">
        <f t="shared" si="6"/>
        <v>4.5556473504071757E-2</v>
      </c>
      <c r="K239" s="9">
        <v>6.99</v>
      </c>
      <c r="L239" s="10">
        <f t="shared" si="0"/>
        <v>4.5556473504071757E-2</v>
      </c>
    </row>
    <row r="240" spans="1:12" ht="14.25" customHeight="1" x14ac:dyDescent="0.3">
      <c r="A240" s="6" t="s">
        <v>264</v>
      </c>
      <c r="B240" s="6" t="s">
        <v>19</v>
      </c>
      <c r="C240" s="7">
        <v>45734</v>
      </c>
      <c r="D240" s="6" t="s">
        <v>17</v>
      </c>
      <c r="E240" s="8">
        <v>6650</v>
      </c>
      <c r="F240" s="8">
        <v>4450</v>
      </c>
      <c r="G240" s="8">
        <v>88</v>
      </c>
      <c r="H240" s="8">
        <v>29</v>
      </c>
      <c r="I240" s="8">
        <v>30</v>
      </c>
      <c r="J240" s="19">
        <f t="shared" si="6"/>
        <v>2.2105263157894735E-2</v>
      </c>
      <c r="K240" s="9">
        <v>3.3</v>
      </c>
      <c r="L240" s="10">
        <f t="shared" si="0"/>
        <v>2.2105263157894735E-2</v>
      </c>
    </row>
    <row r="241" spans="1:12" ht="14.25" customHeight="1" x14ac:dyDescent="0.3">
      <c r="A241" s="6" t="s">
        <v>265</v>
      </c>
      <c r="B241" s="6" t="s">
        <v>13</v>
      </c>
      <c r="C241" s="7">
        <v>45791</v>
      </c>
      <c r="D241" s="6" t="s">
        <v>25</v>
      </c>
      <c r="E241" s="8">
        <v>1657</v>
      </c>
      <c r="F241" s="8">
        <v>1073</v>
      </c>
      <c r="G241" s="8">
        <v>37</v>
      </c>
      <c r="H241" s="8">
        <v>10</v>
      </c>
      <c r="I241" s="8">
        <v>23</v>
      </c>
      <c r="J241" s="19">
        <f t="shared" si="6"/>
        <v>4.2245021122510558E-2</v>
      </c>
      <c r="K241" s="9">
        <v>6.52</v>
      </c>
      <c r="L241" s="10">
        <f t="shared" si="0"/>
        <v>4.2245021122510558E-2</v>
      </c>
    </row>
    <row r="242" spans="1:12" ht="14.25" customHeight="1" x14ac:dyDescent="0.3">
      <c r="A242" s="6" t="s">
        <v>266</v>
      </c>
      <c r="B242" s="6" t="s">
        <v>22</v>
      </c>
      <c r="C242" s="7">
        <v>45445</v>
      </c>
      <c r="D242" s="6" t="s">
        <v>20</v>
      </c>
      <c r="E242" s="8">
        <v>108505</v>
      </c>
      <c r="F242" s="8">
        <v>70144</v>
      </c>
      <c r="G242" s="8">
        <v>2978</v>
      </c>
      <c r="H242" s="8">
        <v>1107</v>
      </c>
      <c r="I242" s="8">
        <v>2855</v>
      </c>
      <c r="J242" s="19">
        <f t="shared" si="6"/>
        <v>6.3960186166536107E-2</v>
      </c>
      <c r="K242" s="9">
        <v>9.89</v>
      </c>
      <c r="L242" s="10">
        <f t="shared" si="0"/>
        <v>6.3960186166536107E-2</v>
      </c>
    </row>
    <row r="243" spans="1:12" ht="14.25" customHeight="1" x14ac:dyDescent="0.3">
      <c r="A243" s="6" t="s">
        <v>267</v>
      </c>
      <c r="B243" s="6" t="s">
        <v>16</v>
      </c>
      <c r="C243" s="7">
        <v>45465</v>
      </c>
      <c r="D243" s="6" t="s">
        <v>25</v>
      </c>
      <c r="E243" s="8">
        <v>51565</v>
      </c>
      <c r="F243" s="8">
        <v>36906</v>
      </c>
      <c r="G243" s="8">
        <v>2329</v>
      </c>
      <c r="H243" s="8">
        <v>388</v>
      </c>
      <c r="I243" s="8">
        <v>296</v>
      </c>
      <c r="J243" s="19">
        <f t="shared" si="6"/>
        <v>5.8431106370600214E-2</v>
      </c>
      <c r="K243" s="9">
        <v>8.16</v>
      </c>
      <c r="L243" s="10">
        <f t="shared" si="0"/>
        <v>5.8431106370600214E-2</v>
      </c>
    </row>
    <row r="244" spans="1:12" ht="14.25" customHeight="1" x14ac:dyDescent="0.3">
      <c r="A244" s="6" t="s">
        <v>268</v>
      </c>
      <c r="B244" s="6" t="s">
        <v>22</v>
      </c>
      <c r="C244" s="7">
        <v>45998</v>
      </c>
      <c r="D244" s="6" t="s">
        <v>20</v>
      </c>
      <c r="E244" s="8">
        <v>178037</v>
      </c>
      <c r="F244" s="8">
        <v>88521</v>
      </c>
      <c r="G244" s="8">
        <v>6409</v>
      </c>
      <c r="H244" s="8">
        <v>1924</v>
      </c>
      <c r="I244" s="8">
        <v>3605</v>
      </c>
      <c r="J244" s="19">
        <f t="shared" si="6"/>
        <v>6.7053477647904647E-2</v>
      </c>
      <c r="K244" s="9">
        <v>13.49</v>
      </c>
      <c r="L244" s="10">
        <f t="shared" si="0"/>
        <v>6.7053477647904647E-2</v>
      </c>
    </row>
    <row r="245" spans="1:12" ht="14.25" customHeight="1" x14ac:dyDescent="0.3">
      <c r="A245" s="6" t="s">
        <v>269</v>
      </c>
      <c r="B245" s="6" t="s">
        <v>22</v>
      </c>
      <c r="C245" s="7">
        <v>45304</v>
      </c>
      <c r="D245" s="6" t="s">
        <v>23</v>
      </c>
      <c r="E245" s="8">
        <v>113603</v>
      </c>
      <c r="F245" s="8">
        <v>66263</v>
      </c>
      <c r="G245" s="8">
        <v>2835</v>
      </c>
      <c r="H245" s="8">
        <v>1732</v>
      </c>
      <c r="I245" s="8">
        <v>2443</v>
      </c>
      <c r="J245" s="19">
        <f t="shared" si="6"/>
        <v>6.1706116915926514E-2</v>
      </c>
      <c r="K245" s="9">
        <v>10.58</v>
      </c>
      <c r="L245" s="10">
        <f t="shared" si="0"/>
        <v>6.1706116915926514E-2</v>
      </c>
    </row>
    <row r="246" spans="1:12" ht="14.25" customHeight="1" x14ac:dyDescent="0.3">
      <c r="A246" s="6" t="s">
        <v>270</v>
      </c>
      <c r="B246" s="6" t="s">
        <v>22</v>
      </c>
      <c r="C246" s="7">
        <v>45708</v>
      </c>
      <c r="D246" s="6" t="s">
        <v>20</v>
      </c>
      <c r="E246" s="8">
        <v>412062</v>
      </c>
      <c r="F246" s="8">
        <v>210624</v>
      </c>
      <c r="G246" s="8">
        <v>18048</v>
      </c>
      <c r="H246" s="8">
        <v>5421</v>
      </c>
      <c r="I246" s="8">
        <v>5811</v>
      </c>
      <c r="J246" s="19">
        <f t="shared" si="6"/>
        <v>7.1057268081016936E-2</v>
      </c>
      <c r="K246" s="9">
        <v>13.9</v>
      </c>
      <c r="L246" s="10">
        <f t="shared" si="0"/>
        <v>7.1057268081016936E-2</v>
      </c>
    </row>
    <row r="247" spans="1:12" ht="14.25" customHeight="1" x14ac:dyDescent="0.3">
      <c r="A247" s="6" t="s">
        <v>271</v>
      </c>
      <c r="B247" s="6" t="s">
        <v>22</v>
      </c>
      <c r="C247" s="7">
        <v>45972</v>
      </c>
      <c r="D247" s="6" t="s">
        <v>23</v>
      </c>
      <c r="E247" s="8">
        <v>167258</v>
      </c>
      <c r="F247" s="8">
        <v>105559</v>
      </c>
      <c r="G247" s="8">
        <v>7139</v>
      </c>
      <c r="H247" s="8">
        <v>1753</v>
      </c>
      <c r="I247" s="8">
        <v>3165</v>
      </c>
      <c r="J247" s="19">
        <f t="shared" si="6"/>
        <v>7.2086238027478503E-2</v>
      </c>
      <c r="K247" s="9">
        <v>11.42</v>
      </c>
      <c r="L247" s="10">
        <f t="shared" si="0"/>
        <v>7.2086238027478503E-2</v>
      </c>
    </row>
    <row r="248" spans="1:12" ht="14.25" customHeight="1" x14ac:dyDescent="0.3">
      <c r="A248" s="6" t="s">
        <v>272</v>
      </c>
      <c r="B248" s="6" t="s">
        <v>13</v>
      </c>
      <c r="C248" s="7">
        <v>45434</v>
      </c>
      <c r="D248" s="6" t="s">
        <v>17</v>
      </c>
      <c r="E248" s="8">
        <v>8453</v>
      </c>
      <c r="F248" s="8">
        <v>2744</v>
      </c>
      <c r="G248" s="8">
        <v>70</v>
      </c>
      <c r="H248" s="8">
        <v>52</v>
      </c>
      <c r="I248" s="8">
        <v>61</v>
      </c>
      <c r="J248" s="19">
        <f t="shared" si="6"/>
        <v>2.1649118656098428E-2</v>
      </c>
      <c r="K248" s="9">
        <v>6.67</v>
      </c>
      <c r="L248" s="10">
        <f t="shared" si="0"/>
        <v>2.1649118656098428E-2</v>
      </c>
    </row>
    <row r="249" spans="1:12" ht="14.25" customHeight="1" x14ac:dyDescent="0.3">
      <c r="A249" s="6" t="s">
        <v>273</v>
      </c>
      <c r="B249" s="6" t="s">
        <v>13</v>
      </c>
      <c r="C249" s="7">
        <v>45376</v>
      </c>
      <c r="D249" s="6" t="s">
        <v>17</v>
      </c>
      <c r="E249" s="8">
        <v>11670</v>
      </c>
      <c r="F249" s="8">
        <v>7549</v>
      </c>
      <c r="G249" s="8">
        <v>83</v>
      </c>
      <c r="H249" s="8">
        <v>121</v>
      </c>
      <c r="I249" s="8">
        <v>183</v>
      </c>
      <c r="J249" s="19">
        <f t="shared" si="6"/>
        <v>3.3161953727506424E-2</v>
      </c>
      <c r="K249" s="9">
        <v>5.13</v>
      </c>
      <c r="L249" s="10">
        <f t="shared" si="0"/>
        <v>3.3161953727506424E-2</v>
      </c>
    </row>
    <row r="250" spans="1:12" ht="14.25" customHeight="1" x14ac:dyDescent="0.3">
      <c r="A250" s="6" t="s">
        <v>274</v>
      </c>
      <c r="B250" s="6" t="s">
        <v>16</v>
      </c>
      <c r="C250" s="7">
        <v>45357</v>
      </c>
      <c r="D250" s="6" t="s">
        <v>23</v>
      </c>
      <c r="E250" s="8">
        <v>50804</v>
      </c>
      <c r="F250" s="8">
        <v>33333</v>
      </c>
      <c r="G250" s="8">
        <v>1967</v>
      </c>
      <c r="H250" s="8">
        <v>113</v>
      </c>
      <c r="I250" s="8">
        <v>54</v>
      </c>
      <c r="J250" s="19">
        <f t="shared" si="6"/>
        <v>4.2004566569561454E-2</v>
      </c>
      <c r="K250" s="9">
        <v>6.4</v>
      </c>
      <c r="L250" s="10">
        <f t="shared" si="0"/>
        <v>4.2004566569561454E-2</v>
      </c>
    </row>
    <row r="251" spans="1:12" ht="14.25" customHeight="1" x14ac:dyDescent="0.3">
      <c r="A251" s="6" t="s">
        <v>275</v>
      </c>
      <c r="B251" s="6" t="s">
        <v>19</v>
      </c>
      <c r="C251" s="7">
        <v>45361</v>
      </c>
      <c r="D251" s="6" t="s">
        <v>14</v>
      </c>
      <c r="E251" s="8">
        <v>19570</v>
      </c>
      <c r="F251" s="8">
        <v>15268</v>
      </c>
      <c r="G251" s="8">
        <v>93</v>
      </c>
      <c r="H251" s="8">
        <v>58</v>
      </c>
      <c r="I251" s="8">
        <v>43</v>
      </c>
      <c r="J251" s="19">
        <f t="shared" si="6"/>
        <v>9.9131323454266732E-3</v>
      </c>
      <c r="K251" s="9">
        <v>1.27</v>
      </c>
      <c r="L251" s="10">
        <f t="shared" si="0"/>
        <v>9.9131323454266732E-3</v>
      </c>
    </row>
    <row r="252" spans="1:12" ht="14.25" customHeight="1" x14ac:dyDescent="0.3">
      <c r="A252" s="6" t="s">
        <v>276</v>
      </c>
      <c r="B252" s="6" t="s">
        <v>16</v>
      </c>
      <c r="C252" s="7">
        <v>45960</v>
      </c>
      <c r="D252" s="6" t="s">
        <v>23</v>
      </c>
      <c r="E252" s="8">
        <v>25198</v>
      </c>
      <c r="F252" s="8">
        <v>11732</v>
      </c>
      <c r="G252" s="8">
        <v>764</v>
      </c>
      <c r="H252" s="8">
        <v>64</v>
      </c>
      <c r="I252" s="8">
        <v>115</v>
      </c>
      <c r="J252" s="19">
        <f t="shared" si="6"/>
        <v>3.7423605048019684E-2</v>
      </c>
      <c r="K252" s="9">
        <v>8.0399999999999991</v>
      </c>
      <c r="L252" s="10">
        <f t="shared" si="0"/>
        <v>3.7423605048019684E-2</v>
      </c>
    </row>
    <row r="253" spans="1:12" ht="14.25" customHeight="1" x14ac:dyDescent="0.3">
      <c r="A253" s="6" t="s">
        <v>277</v>
      </c>
      <c r="B253" s="6" t="s">
        <v>30</v>
      </c>
      <c r="C253" s="7">
        <v>45797</v>
      </c>
      <c r="D253" s="6" t="s">
        <v>25</v>
      </c>
      <c r="E253" s="8">
        <v>1247</v>
      </c>
      <c r="F253" s="8">
        <v>713</v>
      </c>
      <c r="G253" s="8">
        <v>24</v>
      </c>
      <c r="H253" s="8">
        <v>16</v>
      </c>
      <c r="I253" s="8">
        <v>6</v>
      </c>
      <c r="J253" s="19">
        <f t="shared" si="6"/>
        <v>3.6888532477947072E-2</v>
      </c>
      <c r="K253" s="9">
        <v>6.45</v>
      </c>
      <c r="L253" s="10">
        <f t="shared" si="0"/>
        <v>3.6888532477947072E-2</v>
      </c>
    </row>
    <row r="254" spans="1:12" ht="14.25" customHeight="1" x14ac:dyDescent="0.3">
      <c r="A254" s="6" t="s">
        <v>278</v>
      </c>
      <c r="B254" s="6" t="s">
        <v>16</v>
      </c>
      <c r="C254" s="7">
        <v>45930</v>
      </c>
      <c r="D254" s="6" t="s">
        <v>25</v>
      </c>
      <c r="E254" s="8">
        <v>46649</v>
      </c>
      <c r="F254" s="8">
        <v>19555</v>
      </c>
      <c r="G254" s="8">
        <v>1372</v>
      </c>
      <c r="H254" s="8">
        <v>213</v>
      </c>
      <c r="I254" s="8">
        <v>143</v>
      </c>
      <c r="J254" s="19">
        <f t="shared" si="6"/>
        <v>3.7042594696563701E-2</v>
      </c>
      <c r="K254" s="9">
        <v>8.84</v>
      </c>
      <c r="L254" s="10">
        <f t="shared" si="0"/>
        <v>3.7042594696563701E-2</v>
      </c>
    </row>
    <row r="255" spans="1:12" ht="14.25" customHeight="1" x14ac:dyDescent="0.3">
      <c r="A255" s="6" t="s">
        <v>279</v>
      </c>
      <c r="B255" s="6" t="s">
        <v>16</v>
      </c>
      <c r="C255" s="7">
        <v>45888</v>
      </c>
      <c r="D255" s="6" t="s">
        <v>17</v>
      </c>
      <c r="E255" s="8">
        <v>35125</v>
      </c>
      <c r="F255" s="8">
        <v>22571</v>
      </c>
      <c r="G255" s="8">
        <v>1746</v>
      </c>
      <c r="H255" s="8">
        <v>128</v>
      </c>
      <c r="I255" s="8">
        <v>225</v>
      </c>
      <c r="J255" s="19">
        <f t="shared" si="6"/>
        <v>5.9758007117437721E-2</v>
      </c>
      <c r="K255" s="9">
        <v>9.3000000000000007</v>
      </c>
      <c r="L255" s="10">
        <f t="shared" si="0"/>
        <v>5.9758007117437721E-2</v>
      </c>
    </row>
    <row r="256" spans="1:12" ht="14.25" customHeight="1" x14ac:dyDescent="0.3">
      <c r="A256" s="6" t="s">
        <v>280</v>
      </c>
      <c r="B256" s="6" t="s">
        <v>22</v>
      </c>
      <c r="C256" s="7">
        <v>45529</v>
      </c>
      <c r="D256" s="6" t="s">
        <v>23</v>
      </c>
      <c r="E256" s="8">
        <v>11249</v>
      </c>
      <c r="F256" s="8">
        <v>7065</v>
      </c>
      <c r="G256" s="8">
        <v>364</v>
      </c>
      <c r="H256" s="8">
        <v>173</v>
      </c>
      <c r="I256" s="8">
        <v>155</v>
      </c>
      <c r="J256" s="19">
        <f t="shared" si="6"/>
        <v>6.1516579251489019E-2</v>
      </c>
      <c r="K256" s="9">
        <v>9.7899999999999991</v>
      </c>
      <c r="L256" s="10">
        <f t="shared" si="0"/>
        <v>6.1516579251489019E-2</v>
      </c>
    </row>
    <row r="257" spans="1:12" ht="14.25" customHeight="1" x14ac:dyDescent="0.3">
      <c r="A257" s="6" t="s">
        <v>281</v>
      </c>
      <c r="B257" s="6" t="s">
        <v>13</v>
      </c>
      <c r="C257" s="7">
        <v>45964</v>
      </c>
      <c r="D257" s="6" t="s">
        <v>14</v>
      </c>
      <c r="E257" s="8">
        <v>24441</v>
      </c>
      <c r="F257" s="8">
        <v>10879</v>
      </c>
      <c r="G257" s="8">
        <v>337</v>
      </c>
      <c r="H257" s="8">
        <v>202</v>
      </c>
      <c r="I257" s="8">
        <v>75</v>
      </c>
      <c r="J257" s="19">
        <f t="shared" si="6"/>
        <v>2.5121721697148235E-2</v>
      </c>
      <c r="K257" s="9">
        <v>5.64</v>
      </c>
      <c r="L257" s="10">
        <f t="shared" ref="L257:L511" si="7">(G257+H257+I257)/E257</f>
        <v>2.5121721697148235E-2</v>
      </c>
    </row>
    <row r="258" spans="1:12" ht="14.25" customHeight="1" x14ac:dyDescent="0.3">
      <c r="A258" s="6" t="s">
        <v>282</v>
      </c>
      <c r="B258" s="6" t="s">
        <v>30</v>
      </c>
      <c r="C258" s="7">
        <v>45929</v>
      </c>
      <c r="D258" s="6" t="s">
        <v>20</v>
      </c>
      <c r="E258" s="8">
        <v>2648</v>
      </c>
      <c r="F258" s="8">
        <v>1347</v>
      </c>
      <c r="G258" s="8">
        <v>49</v>
      </c>
      <c r="H258" s="8">
        <v>14</v>
      </c>
      <c r="I258" s="8">
        <v>17</v>
      </c>
      <c r="J258" s="19">
        <f t="shared" si="6"/>
        <v>3.0211480362537766E-2</v>
      </c>
      <c r="K258" s="9">
        <v>5.94</v>
      </c>
      <c r="L258" s="10">
        <f t="shared" si="7"/>
        <v>3.0211480362537766E-2</v>
      </c>
    </row>
    <row r="259" spans="1:12" ht="14.25" customHeight="1" x14ac:dyDescent="0.3">
      <c r="A259" s="6" t="s">
        <v>283</v>
      </c>
      <c r="B259" s="6" t="s">
        <v>13</v>
      </c>
      <c r="C259" s="7">
        <v>45575</v>
      </c>
      <c r="D259" s="6" t="s">
        <v>14</v>
      </c>
      <c r="E259" s="8">
        <v>8413</v>
      </c>
      <c r="F259" s="8">
        <v>5885</v>
      </c>
      <c r="G259" s="8">
        <v>210</v>
      </c>
      <c r="H259" s="8">
        <v>45</v>
      </c>
      <c r="I259" s="8">
        <v>95</v>
      </c>
      <c r="J259" s="19">
        <f t="shared" ref="J259:J322" si="8">(G259+H259+I259)/E259</f>
        <v>4.1602282182336858E-2</v>
      </c>
      <c r="K259" s="9">
        <v>5.95</v>
      </c>
      <c r="L259" s="10">
        <f t="shared" si="7"/>
        <v>4.1602282182336858E-2</v>
      </c>
    </row>
    <row r="260" spans="1:12" ht="14.25" customHeight="1" x14ac:dyDescent="0.3">
      <c r="A260" s="6" t="s">
        <v>284</v>
      </c>
      <c r="B260" s="6" t="s">
        <v>16</v>
      </c>
      <c r="C260" s="7">
        <v>45491</v>
      </c>
      <c r="D260" s="6" t="s">
        <v>23</v>
      </c>
      <c r="E260" s="8">
        <v>87465</v>
      </c>
      <c r="F260" s="8">
        <v>46191</v>
      </c>
      <c r="G260" s="8">
        <v>2314</v>
      </c>
      <c r="H260" s="8">
        <v>107</v>
      </c>
      <c r="I260" s="8">
        <v>330</v>
      </c>
      <c r="J260" s="19">
        <f t="shared" si="8"/>
        <v>3.1452581032412968E-2</v>
      </c>
      <c r="K260" s="9">
        <v>5.96</v>
      </c>
      <c r="L260" s="10">
        <f t="shared" si="7"/>
        <v>3.1452581032412968E-2</v>
      </c>
    </row>
    <row r="261" spans="1:12" ht="14.25" customHeight="1" x14ac:dyDescent="0.3">
      <c r="A261" s="6" t="s">
        <v>285</v>
      </c>
      <c r="B261" s="6" t="s">
        <v>22</v>
      </c>
      <c r="C261" s="7">
        <v>45595</v>
      </c>
      <c r="D261" s="6" t="s">
        <v>20</v>
      </c>
      <c r="E261" s="8">
        <v>238988</v>
      </c>
      <c r="F261" s="8">
        <v>75452</v>
      </c>
      <c r="G261" s="8">
        <v>6979</v>
      </c>
      <c r="H261" s="8">
        <v>1303</v>
      </c>
      <c r="I261" s="8">
        <v>1839</v>
      </c>
      <c r="J261" s="19">
        <f t="shared" si="8"/>
        <v>4.234940666476978E-2</v>
      </c>
      <c r="K261" s="9">
        <v>13.41</v>
      </c>
      <c r="L261" s="10">
        <f t="shared" si="7"/>
        <v>4.234940666476978E-2</v>
      </c>
    </row>
    <row r="262" spans="1:12" ht="14.25" customHeight="1" x14ac:dyDescent="0.3">
      <c r="A262" s="6" t="s">
        <v>286</v>
      </c>
      <c r="B262" s="6" t="s">
        <v>30</v>
      </c>
      <c r="C262" s="7">
        <v>45685</v>
      </c>
      <c r="D262" s="6" t="s">
        <v>17</v>
      </c>
      <c r="E262" s="8">
        <v>10739</v>
      </c>
      <c r="F262" s="8">
        <v>6660</v>
      </c>
      <c r="G262" s="8">
        <v>385</v>
      </c>
      <c r="H262" s="8">
        <v>43</v>
      </c>
      <c r="I262" s="8">
        <v>74</v>
      </c>
      <c r="J262" s="19">
        <f t="shared" si="8"/>
        <v>4.6745507030449759E-2</v>
      </c>
      <c r="K262" s="9">
        <v>7.54</v>
      </c>
      <c r="L262" s="10">
        <f t="shared" si="7"/>
        <v>4.6745507030449759E-2</v>
      </c>
    </row>
    <row r="263" spans="1:12" ht="14.25" customHeight="1" x14ac:dyDescent="0.3">
      <c r="A263" s="6" t="s">
        <v>287</v>
      </c>
      <c r="B263" s="6" t="s">
        <v>16</v>
      </c>
      <c r="C263" s="7">
        <v>45730</v>
      </c>
      <c r="D263" s="6" t="s">
        <v>17</v>
      </c>
      <c r="E263" s="8">
        <v>13057</v>
      </c>
      <c r="F263" s="8">
        <v>9506</v>
      </c>
      <c r="G263" s="8">
        <v>650</v>
      </c>
      <c r="H263" s="8">
        <v>89</v>
      </c>
      <c r="I263" s="8">
        <v>25</v>
      </c>
      <c r="J263" s="19">
        <f t="shared" si="8"/>
        <v>5.8512675193382858E-2</v>
      </c>
      <c r="K263" s="9">
        <v>8.0399999999999991</v>
      </c>
      <c r="L263" s="10">
        <f t="shared" si="7"/>
        <v>5.8512675193382858E-2</v>
      </c>
    </row>
    <row r="264" spans="1:12" ht="14.25" customHeight="1" x14ac:dyDescent="0.3">
      <c r="A264" s="6" t="s">
        <v>288</v>
      </c>
      <c r="B264" s="6" t="s">
        <v>13</v>
      </c>
      <c r="C264" s="7">
        <v>46000</v>
      </c>
      <c r="D264" s="6" t="s">
        <v>17</v>
      </c>
      <c r="E264" s="8">
        <v>27725</v>
      </c>
      <c r="F264" s="8">
        <v>17999</v>
      </c>
      <c r="G264" s="8">
        <v>349</v>
      </c>
      <c r="H264" s="8">
        <v>231</v>
      </c>
      <c r="I264" s="8">
        <v>427</v>
      </c>
      <c r="J264" s="19">
        <f t="shared" si="8"/>
        <v>3.6321009918845806E-2</v>
      </c>
      <c r="K264" s="9">
        <v>5.59</v>
      </c>
      <c r="L264" s="10">
        <f t="shared" si="7"/>
        <v>3.6321009918845806E-2</v>
      </c>
    </row>
    <row r="265" spans="1:12" ht="14.25" customHeight="1" x14ac:dyDescent="0.3">
      <c r="A265" s="6" t="s">
        <v>289</v>
      </c>
      <c r="B265" s="6" t="s">
        <v>16</v>
      </c>
      <c r="C265" s="7">
        <v>45730</v>
      </c>
      <c r="D265" s="6" t="s">
        <v>25</v>
      </c>
      <c r="E265" s="8">
        <v>57682</v>
      </c>
      <c r="F265" s="8">
        <v>44434</v>
      </c>
      <c r="G265" s="8">
        <v>1003</v>
      </c>
      <c r="H265" s="8">
        <v>262</v>
      </c>
      <c r="I265" s="8">
        <v>289</v>
      </c>
      <c r="J265" s="19">
        <f t="shared" si="8"/>
        <v>2.6940813425331993E-2</v>
      </c>
      <c r="K265" s="9">
        <v>3.5</v>
      </c>
      <c r="L265" s="10">
        <f t="shared" si="7"/>
        <v>2.6940813425331993E-2</v>
      </c>
    </row>
    <row r="266" spans="1:12" ht="14.25" customHeight="1" x14ac:dyDescent="0.3">
      <c r="A266" s="6" t="s">
        <v>290</v>
      </c>
      <c r="B266" s="6" t="s">
        <v>19</v>
      </c>
      <c r="C266" s="7">
        <v>45476</v>
      </c>
      <c r="D266" s="6" t="s">
        <v>20</v>
      </c>
      <c r="E266" s="8">
        <v>17139</v>
      </c>
      <c r="F266" s="8">
        <v>9843</v>
      </c>
      <c r="G266" s="8">
        <v>52</v>
      </c>
      <c r="H266" s="8">
        <v>36</v>
      </c>
      <c r="I266" s="8">
        <v>177</v>
      </c>
      <c r="J266" s="19">
        <f t="shared" si="8"/>
        <v>1.5461812241087579E-2</v>
      </c>
      <c r="K266" s="9">
        <v>2.69</v>
      </c>
      <c r="L266" s="10">
        <f t="shared" si="7"/>
        <v>1.5461812241087579E-2</v>
      </c>
    </row>
    <row r="267" spans="1:12" ht="14.25" customHeight="1" x14ac:dyDescent="0.3">
      <c r="A267" s="6" t="s">
        <v>291</v>
      </c>
      <c r="B267" s="6" t="s">
        <v>22</v>
      </c>
      <c r="C267" s="7">
        <v>45817</v>
      </c>
      <c r="D267" s="6" t="s">
        <v>23</v>
      </c>
      <c r="E267" s="8">
        <v>189115</v>
      </c>
      <c r="F267" s="8">
        <v>82786</v>
      </c>
      <c r="G267" s="8">
        <v>9495</v>
      </c>
      <c r="H267" s="8">
        <v>717</v>
      </c>
      <c r="I267" s="8">
        <v>2947</v>
      </c>
      <c r="J267" s="19">
        <f t="shared" si="8"/>
        <v>6.9582000370145156E-2</v>
      </c>
      <c r="K267" s="9">
        <v>15.9</v>
      </c>
      <c r="L267" s="10">
        <f t="shared" si="7"/>
        <v>6.9582000370145156E-2</v>
      </c>
    </row>
    <row r="268" spans="1:12" ht="14.25" customHeight="1" x14ac:dyDescent="0.3">
      <c r="A268" s="6" t="s">
        <v>292</v>
      </c>
      <c r="B268" s="6" t="s">
        <v>16</v>
      </c>
      <c r="C268" s="7">
        <v>45500</v>
      </c>
      <c r="D268" s="6" t="s">
        <v>17</v>
      </c>
      <c r="E268" s="8">
        <v>44207</v>
      </c>
      <c r="F268" s="8">
        <v>32862</v>
      </c>
      <c r="G268" s="8">
        <v>803</v>
      </c>
      <c r="H268" s="8">
        <v>386</v>
      </c>
      <c r="I268" s="8">
        <v>318</v>
      </c>
      <c r="J268" s="19">
        <f t="shared" si="8"/>
        <v>3.4089623815232881E-2</v>
      </c>
      <c r="K268" s="9">
        <v>4.59</v>
      </c>
      <c r="L268" s="10">
        <f t="shared" si="7"/>
        <v>3.4089623815232881E-2</v>
      </c>
    </row>
    <row r="269" spans="1:12" ht="14.25" customHeight="1" x14ac:dyDescent="0.3">
      <c r="A269" s="6" t="s">
        <v>293</v>
      </c>
      <c r="B269" s="6" t="s">
        <v>19</v>
      </c>
      <c r="C269" s="7">
        <v>45792</v>
      </c>
      <c r="D269" s="6" t="s">
        <v>14</v>
      </c>
      <c r="E269" s="8">
        <v>15615</v>
      </c>
      <c r="F269" s="8">
        <v>13350</v>
      </c>
      <c r="G269" s="8">
        <v>146</v>
      </c>
      <c r="H269" s="8">
        <v>15</v>
      </c>
      <c r="I269" s="8">
        <v>260</v>
      </c>
      <c r="J269" s="19">
        <f t="shared" si="8"/>
        <v>2.696125520333013E-2</v>
      </c>
      <c r="K269" s="9">
        <v>3.15</v>
      </c>
      <c r="L269" s="10">
        <f t="shared" si="7"/>
        <v>2.696125520333013E-2</v>
      </c>
    </row>
    <row r="270" spans="1:12" ht="14.25" customHeight="1" x14ac:dyDescent="0.3">
      <c r="A270" s="6" t="s">
        <v>294</v>
      </c>
      <c r="B270" s="6" t="s">
        <v>30</v>
      </c>
      <c r="C270" s="7">
        <v>45409</v>
      </c>
      <c r="D270" s="6" t="s">
        <v>17</v>
      </c>
      <c r="E270" s="8">
        <v>14552</v>
      </c>
      <c r="F270" s="8">
        <v>11582</v>
      </c>
      <c r="G270" s="8">
        <v>469</v>
      </c>
      <c r="H270" s="8">
        <v>154</v>
      </c>
      <c r="I270" s="8">
        <v>139</v>
      </c>
      <c r="J270" s="19">
        <f t="shared" si="8"/>
        <v>5.2363936228697089E-2</v>
      </c>
      <c r="K270" s="9">
        <v>6.58</v>
      </c>
      <c r="L270" s="10">
        <f t="shared" si="7"/>
        <v>5.2363936228697089E-2</v>
      </c>
    </row>
    <row r="271" spans="1:12" ht="14.25" customHeight="1" x14ac:dyDescent="0.3">
      <c r="A271" s="6" t="s">
        <v>295</v>
      </c>
      <c r="B271" s="6" t="s">
        <v>13</v>
      </c>
      <c r="C271" s="7">
        <v>45863</v>
      </c>
      <c r="D271" s="6" t="s">
        <v>17</v>
      </c>
      <c r="E271" s="8">
        <v>3215</v>
      </c>
      <c r="F271" s="8">
        <v>1257</v>
      </c>
      <c r="G271" s="8">
        <v>34</v>
      </c>
      <c r="H271" s="8">
        <v>3</v>
      </c>
      <c r="I271" s="8">
        <v>16</v>
      </c>
      <c r="J271" s="19">
        <f t="shared" si="8"/>
        <v>1.6485225505443235E-2</v>
      </c>
      <c r="K271" s="9">
        <v>4.22</v>
      </c>
      <c r="L271" s="10">
        <f t="shared" si="7"/>
        <v>1.6485225505443235E-2</v>
      </c>
    </row>
    <row r="272" spans="1:12" ht="14.25" customHeight="1" x14ac:dyDescent="0.3">
      <c r="A272" s="6" t="s">
        <v>296</v>
      </c>
      <c r="B272" s="6" t="s">
        <v>19</v>
      </c>
      <c r="C272" s="7">
        <v>45294</v>
      </c>
      <c r="D272" s="6" t="s">
        <v>17</v>
      </c>
      <c r="E272" s="8">
        <v>22166</v>
      </c>
      <c r="F272" s="8">
        <v>13317</v>
      </c>
      <c r="G272" s="8">
        <v>280</v>
      </c>
      <c r="H272" s="8">
        <v>50</v>
      </c>
      <c r="I272" s="8">
        <v>213</v>
      </c>
      <c r="J272" s="19">
        <f t="shared" si="8"/>
        <v>2.4496977352702336E-2</v>
      </c>
      <c r="K272" s="9">
        <v>4.08</v>
      </c>
      <c r="L272" s="10">
        <f t="shared" si="7"/>
        <v>2.4496977352702336E-2</v>
      </c>
    </row>
    <row r="273" spans="1:12" ht="14.25" customHeight="1" x14ac:dyDescent="0.3">
      <c r="A273" s="6" t="s">
        <v>297</v>
      </c>
      <c r="B273" s="6" t="s">
        <v>22</v>
      </c>
      <c r="C273" s="7">
        <v>45894</v>
      </c>
      <c r="D273" s="6" t="s">
        <v>23</v>
      </c>
      <c r="E273" s="8">
        <v>115946</v>
      </c>
      <c r="F273" s="8">
        <v>37187</v>
      </c>
      <c r="G273" s="8">
        <v>3976</v>
      </c>
      <c r="H273" s="8">
        <v>509</v>
      </c>
      <c r="I273" s="8">
        <v>1040</v>
      </c>
      <c r="J273" s="19">
        <f t="shared" si="8"/>
        <v>4.7651492936366932E-2</v>
      </c>
      <c r="K273" s="9">
        <v>14.86</v>
      </c>
      <c r="L273" s="10">
        <f t="shared" si="7"/>
        <v>4.7651492936366932E-2</v>
      </c>
    </row>
    <row r="274" spans="1:12" ht="14.25" customHeight="1" x14ac:dyDescent="0.3">
      <c r="A274" s="6" t="s">
        <v>298</v>
      </c>
      <c r="B274" s="6" t="s">
        <v>19</v>
      </c>
      <c r="C274" s="7">
        <v>45631</v>
      </c>
      <c r="D274" s="6" t="s">
        <v>20</v>
      </c>
      <c r="E274" s="8">
        <v>49795</v>
      </c>
      <c r="F274" s="8">
        <v>40622</v>
      </c>
      <c r="G274" s="8">
        <v>928</v>
      </c>
      <c r="H274" s="8">
        <v>63</v>
      </c>
      <c r="I274" s="8">
        <v>119</v>
      </c>
      <c r="J274" s="19">
        <f t="shared" si="8"/>
        <v>2.2291394718345216E-2</v>
      </c>
      <c r="K274" s="9">
        <v>2.73</v>
      </c>
      <c r="L274" s="10">
        <f t="shared" si="7"/>
        <v>2.2291394718345216E-2</v>
      </c>
    </row>
    <row r="275" spans="1:12" ht="14.25" customHeight="1" x14ac:dyDescent="0.3">
      <c r="A275" s="6" t="s">
        <v>299</v>
      </c>
      <c r="B275" s="6" t="s">
        <v>13</v>
      </c>
      <c r="C275" s="7">
        <v>45976</v>
      </c>
      <c r="D275" s="6" t="s">
        <v>17</v>
      </c>
      <c r="E275" s="8">
        <v>21275</v>
      </c>
      <c r="F275" s="8">
        <v>11159</v>
      </c>
      <c r="G275" s="8">
        <v>223</v>
      </c>
      <c r="H275" s="8">
        <v>149</v>
      </c>
      <c r="I275" s="8">
        <v>244</v>
      </c>
      <c r="J275" s="19">
        <f t="shared" si="8"/>
        <v>2.8954171562867215E-2</v>
      </c>
      <c r="K275" s="9">
        <v>5.52</v>
      </c>
      <c r="L275" s="10">
        <f t="shared" si="7"/>
        <v>2.8954171562867215E-2</v>
      </c>
    </row>
    <row r="276" spans="1:12" ht="14.25" customHeight="1" x14ac:dyDescent="0.3">
      <c r="A276" s="6" t="s">
        <v>300</v>
      </c>
      <c r="B276" s="6" t="s">
        <v>22</v>
      </c>
      <c r="C276" s="7">
        <v>45944</v>
      </c>
      <c r="D276" s="6" t="s">
        <v>20</v>
      </c>
      <c r="E276" s="8">
        <v>249153</v>
      </c>
      <c r="F276" s="8">
        <v>111826</v>
      </c>
      <c r="G276" s="8">
        <v>9278</v>
      </c>
      <c r="H276" s="8">
        <v>2328</v>
      </c>
      <c r="I276" s="8">
        <v>2336</v>
      </c>
      <c r="J276" s="19">
        <f t="shared" si="8"/>
        <v>5.5957584295593471E-2</v>
      </c>
      <c r="K276" s="9">
        <v>12.47</v>
      </c>
      <c r="L276" s="10">
        <f t="shared" si="7"/>
        <v>5.5957584295593471E-2</v>
      </c>
    </row>
    <row r="277" spans="1:12" ht="14.25" customHeight="1" x14ac:dyDescent="0.3">
      <c r="A277" s="6" t="s">
        <v>301</v>
      </c>
      <c r="B277" s="6" t="s">
        <v>22</v>
      </c>
      <c r="C277" s="7">
        <v>45326</v>
      </c>
      <c r="D277" s="6" t="s">
        <v>23</v>
      </c>
      <c r="E277" s="8">
        <v>479116</v>
      </c>
      <c r="F277" s="8">
        <v>244474</v>
      </c>
      <c r="G277" s="8">
        <v>29116</v>
      </c>
      <c r="H277" s="8">
        <v>1302</v>
      </c>
      <c r="I277" s="8">
        <v>5281</v>
      </c>
      <c r="J277" s="19">
        <f t="shared" si="8"/>
        <v>7.4510139506925255E-2</v>
      </c>
      <c r="K277" s="9">
        <v>14.6</v>
      </c>
      <c r="L277" s="10">
        <f t="shared" si="7"/>
        <v>7.4510139506925255E-2</v>
      </c>
    </row>
    <row r="278" spans="1:12" ht="14.25" customHeight="1" x14ac:dyDescent="0.3">
      <c r="A278" s="6" t="s">
        <v>302</v>
      </c>
      <c r="B278" s="6" t="s">
        <v>13</v>
      </c>
      <c r="C278" s="7">
        <v>45465</v>
      </c>
      <c r="D278" s="6" t="s">
        <v>25</v>
      </c>
      <c r="E278" s="8">
        <v>1917</v>
      </c>
      <c r="F278" s="8">
        <v>751</v>
      </c>
      <c r="G278" s="8">
        <v>26</v>
      </c>
      <c r="H278" s="8">
        <v>4</v>
      </c>
      <c r="I278" s="8">
        <v>15</v>
      </c>
      <c r="J278" s="19">
        <f t="shared" si="8"/>
        <v>2.3474178403755867E-2</v>
      </c>
      <c r="K278" s="9">
        <v>5.99</v>
      </c>
      <c r="L278" s="10">
        <f t="shared" si="7"/>
        <v>2.3474178403755867E-2</v>
      </c>
    </row>
    <row r="279" spans="1:12" ht="14.25" customHeight="1" x14ac:dyDescent="0.3">
      <c r="A279" s="6" t="s">
        <v>303</v>
      </c>
      <c r="B279" s="6" t="s">
        <v>30</v>
      </c>
      <c r="C279" s="7">
        <v>45751</v>
      </c>
      <c r="D279" s="6" t="s">
        <v>14</v>
      </c>
      <c r="E279" s="8">
        <v>14624</v>
      </c>
      <c r="F279" s="8">
        <v>7922</v>
      </c>
      <c r="G279" s="8">
        <v>238</v>
      </c>
      <c r="H279" s="8">
        <v>76</v>
      </c>
      <c r="I279" s="8">
        <v>99</v>
      </c>
      <c r="J279" s="19">
        <f t="shared" si="8"/>
        <v>2.8241247264770241E-2</v>
      </c>
      <c r="K279" s="9">
        <v>5.21</v>
      </c>
      <c r="L279" s="10">
        <f t="shared" si="7"/>
        <v>2.8241247264770241E-2</v>
      </c>
    </row>
    <row r="280" spans="1:12" ht="14.25" customHeight="1" x14ac:dyDescent="0.3">
      <c r="A280" s="6" t="s">
        <v>304</v>
      </c>
      <c r="B280" s="6" t="s">
        <v>22</v>
      </c>
      <c r="C280" s="7">
        <v>45738</v>
      </c>
      <c r="D280" s="6" t="s">
        <v>20</v>
      </c>
      <c r="E280" s="8">
        <v>171936</v>
      </c>
      <c r="F280" s="8">
        <v>96477</v>
      </c>
      <c r="G280" s="8">
        <v>4349</v>
      </c>
      <c r="H280" s="8">
        <v>2652</v>
      </c>
      <c r="I280" s="8">
        <v>1481</v>
      </c>
      <c r="J280" s="19">
        <f t="shared" si="8"/>
        <v>4.9332309696631306E-2</v>
      </c>
      <c r="K280" s="9">
        <v>8.7899999999999991</v>
      </c>
      <c r="L280" s="10">
        <f t="shared" si="7"/>
        <v>4.9332309696631306E-2</v>
      </c>
    </row>
    <row r="281" spans="1:12" ht="14.25" customHeight="1" x14ac:dyDescent="0.3">
      <c r="A281" s="6" t="s">
        <v>305</v>
      </c>
      <c r="B281" s="6" t="s">
        <v>22</v>
      </c>
      <c r="C281" s="7">
        <v>45382</v>
      </c>
      <c r="D281" s="6" t="s">
        <v>23</v>
      </c>
      <c r="E281" s="8">
        <v>267265</v>
      </c>
      <c r="F281" s="8">
        <v>129762</v>
      </c>
      <c r="G281" s="8">
        <v>4658</v>
      </c>
      <c r="H281" s="8">
        <v>3705</v>
      </c>
      <c r="I281" s="8">
        <v>1986</v>
      </c>
      <c r="J281" s="19">
        <f t="shared" si="8"/>
        <v>3.8721867809103326E-2</v>
      </c>
      <c r="K281" s="9">
        <v>7.98</v>
      </c>
      <c r="L281" s="10">
        <f t="shared" si="7"/>
        <v>3.8721867809103326E-2</v>
      </c>
    </row>
    <row r="282" spans="1:12" ht="14.25" customHeight="1" x14ac:dyDescent="0.3">
      <c r="A282" s="6" t="s">
        <v>306</v>
      </c>
      <c r="B282" s="6" t="s">
        <v>13</v>
      </c>
      <c r="C282" s="7">
        <v>45987</v>
      </c>
      <c r="D282" s="6" t="s">
        <v>25</v>
      </c>
      <c r="E282" s="8">
        <v>15655</v>
      </c>
      <c r="F282" s="8">
        <v>8593</v>
      </c>
      <c r="G282" s="8">
        <v>328</v>
      </c>
      <c r="H282" s="8">
        <v>153</v>
      </c>
      <c r="I282" s="8">
        <v>116</v>
      </c>
      <c r="J282" s="19">
        <f t="shared" si="8"/>
        <v>3.8134781220057493E-2</v>
      </c>
      <c r="K282" s="9">
        <v>6.95</v>
      </c>
      <c r="L282" s="10">
        <f t="shared" si="7"/>
        <v>3.8134781220057493E-2</v>
      </c>
    </row>
    <row r="283" spans="1:12" ht="14.25" customHeight="1" x14ac:dyDescent="0.3">
      <c r="A283" s="6" t="s">
        <v>307</v>
      </c>
      <c r="B283" s="6" t="s">
        <v>13</v>
      </c>
      <c r="C283" s="7">
        <v>45633</v>
      </c>
      <c r="D283" s="6" t="s">
        <v>20</v>
      </c>
      <c r="E283" s="8">
        <v>50893</v>
      </c>
      <c r="F283" s="8">
        <v>32443</v>
      </c>
      <c r="G283" s="8">
        <v>580</v>
      </c>
      <c r="H283" s="8">
        <v>105</v>
      </c>
      <c r="I283" s="8">
        <v>827</v>
      </c>
      <c r="J283" s="19">
        <f t="shared" si="8"/>
        <v>2.9709390289430766E-2</v>
      </c>
      <c r="K283" s="9">
        <v>4.66</v>
      </c>
      <c r="L283" s="10">
        <f t="shared" si="7"/>
        <v>2.9709390289430766E-2</v>
      </c>
    </row>
    <row r="284" spans="1:12" ht="14.25" customHeight="1" x14ac:dyDescent="0.3">
      <c r="A284" s="6" t="s">
        <v>308</v>
      </c>
      <c r="B284" s="6" t="s">
        <v>22</v>
      </c>
      <c r="C284" s="7">
        <v>45512</v>
      </c>
      <c r="D284" s="6" t="s">
        <v>20</v>
      </c>
      <c r="E284" s="8">
        <v>124057</v>
      </c>
      <c r="F284" s="8">
        <v>43671</v>
      </c>
      <c r="G284" s="8">
        <v>5159</v>
      </c>
      <c r="H284" s="8">
        <v>598</v>
      </c>
      <c r="I284" s="8">
        <v>1119</v>
      </c>
      <c r="J284" s="19">
        <f t="shared" si="8"/>
        <v>5.5426134760634224E-2</v>
      </c>
      <c r="K284" s="9">
        <v>15.75</v>
      </c>
      <c r="L284" s="10">
        <f t="shared" si="7"/>
        <v>5.5426134760634224E-2</v>
      </c>
    </row>
    <row r="285" spans="1:12" ht="14.25" customHeight="1" x14ac:dyDescent="0.3">
      <c r="A285" s="6" t="s">
        <v>309</v>
      </c>
      <c r="B285" s="6" t="s">
        <v>22</v>
      </c>
      <c r="C285" s="7">
        <v>45550</v>
      </c>
      <c r="D285" s="6" t="s">
        <v>23</v>
      </c>
      <c r="E285" s="8">
        <v>317606</v>
      </c>
      <c r="F285" s="8">
        <v>204299</v>
      </c>
      <c r="G285" s="8">
        <v>6349</v>
      </c>
      <c r="H285" s="8">
        <v>5077</v>
      </c>
      <c r="I285" s="8">
        <v>3835</v>
      </c>
      <c r="J285" s="19">
        <f t="shared" si="8"/>
        <v>4.8050099809197562E-2</v>
      </c>
      <c r="K285" s="9">
        <v>7.47</v>
      </c>
      <c r="L285" s="10">
        <f t="shared" si="7"/>
        <v>4.8050099809197562E-2</v>
      </c>
    </row>
    <row r="286" spans="1:12" ht="14.25" customHeight="1" x14ac:dyDescent="0.3">
      <c r="A286" s="6" t="s">
        <v>310</v>
      </c>
      <c r="B286" s="6" t="s">
        <v>22</v>
      </c>
      <c r="C286" s="7">
        <v>45521</v>
      </c>
      <c r="D286" s="6" t="s">
        <v>23</v>
      </c>
      <c r="E286" s="8">
        <v>130990</v>
      </c>
      <c r="F286" s="8">
        <v>74173</v>
      </c>
      <c r="G286" s="8">
        <v>7846</v>
      </c>
      <c r="H286" s="8">
        <v>583</v>
      </c>
      <c r="I286" s="8">
        <v>1506</v>
      </c>
      <c r="J286" s="19">
        <f t="shared" si="8"/>
        <v>7.5845484388121234E-2</v>
      </c>
      <c r="K286" s="9">
        <v>13.39</v>
      </c>
      <c r="L286" s="10">
        <f t="shared" si="7"/>
        <v>7.5845484388121234E-2</v>
      </c>
    </row>
    <row r="287" spans="1:12" ht="14.25" customHeight="1" x14ac:dyDescent="0.3">
      <c r="A287" s="6" t="s">
        <v>311</v>
      </c>
      <c r="B287" s="6" t="s">
        <v>16</v>
      </c>
      <c r="C287" s="7">
        <v>45345</v>
      </c>
      <c r="D287" s="6" t="s">
        <v>20</v>
      </c>
      <c r="E287" s="8">
        <v>19221</v>
      </c>
      <c r="F287" s="8">
        <v>8063</v>
      </c>
      <c r="G287" s="8">
        <v>629</v>
      </c>
      <c r="H287" s="8">
        <v>38</v>
      </c>
      <c r="I287" s="8">
        <v>17</v>
      </c>
      <c r="J287" s="19">
        <f t="shared" si="8"/>
        <v>3.5586077727485566E-2</v>
      </c>
      <c r="K287" s="9">
        <v>8.48</v>
      </c>
      <c r="L287" s="10">
        <f t="shared" si="7"/>
        <v>3.5586077727485566E-2</v>
      </c>
    </row>
    <row r="288" spans="1:12" ht="14.25" customHeight="1" x14ac:dyDescent="0.3">
      <c r="A288" s="6" t="s">
        <v>312</v>
      </c>
      <c r="B288" s="6" t="s">
        <v>16</v>
      </c>
      <c r="C288" s="7">
        <v>45454</v>
      </c>
      <c r="D288" s="6" t="s">
        <v>20</v>
      </c>
      <c r="E288" s="8">
        <v>48127</v>
      </c>
      <c r="F288" s="8">
        <v>28544</v>
      </c>
      <c r="G288" s="8">
        <v>692</v>
      </c>
      <c r="H288" s="8">
        <v>260</v>
      </c>
      <c r="I288" s="8">
        <v>141</v>
      </c>
      <c r="J288" s="19">
        <f t="shared" si="8"/>
        <v>2.2710744488540737E-2</v>
      </c>
      <c r="K288" s="9">
        <v>3.83</v>
      </c>
      <c r="L288" s="10">
        <f t="shared" si="7"/>
        <v>2.2710744488540737E-2</v>
      </c>
    </row>
    <row r="289" spans="1:12" ht="14.25" customHeight="1" x14ac:dyDescent="0.3">
      <c r="A289" s="6" t="s">
        <v>313</v>
      </c>
      <c r="B289" s="6" t="s">
        <v>13</v>
      </c>
      <c r="C289" s="7">
        <v>45564</v>
      </c>
      <c r="D289" s="6" t="s">
        <v>25</v>
      </c>
      <c r="E289" s="8">
        <v>20600</v>
      </c>
      <c r="F289" s="8">
        <v>7910</v>
      </c>
      <c r="G289" s="8">
        <v>300</v>
      </c>
      <c r="H289" s="8">
        <v>120</v>
      </c>
      <c r="I289" s="8">
        <v>167</v>
      </c>
      <c r="J289" s="19">
        <f t="shared" si="8"/>
        <v>2.8495145631067961E-2</v>
      </c>
      <c r="K289" s="9">
        <v>7.42</v>
      </c>
      <c r="L289" s="10">
        <f t="shared" si="7"/>
        <v>2.8495145631067961E-2</v>
      </c>
    </row>
    <row r="290" spans="1:12" ht="14.25" customHeight="1" x14ac:dyDescent="0.3">
      <c r="A290" s="6" t="s">
        <v>314</v>
      </c>
      <c r="B290" s="6" t="s">
        <v>22</v>
      </c>
      <c r="C290" s="7">
        <v>45376</v>
      </c>
      <c r="D290" s="6" t="s">
        <v>23</v>
      </c>
      <c r="E290" s="8">
        <v>267250</v>
      </c>
      <c r="F290" s="8">
        <v>160414</v>
      </c>
      <c r="G290" s="8">
        <v>16606</v>
      </c>
      <c r="H290" s="8">
        <v>2210</v>
      </c>
      <c r="I290" s="8">
        <v>6744</v>
      </c>
      <c r="J290" s="19">
        <f t="shared" si="8"/>
        <v>9.564078578110384E-2</v>
      </c>
      <c r="K290" s="9">
        <v>15.93</v>
      </c>
      <c r="L290" s="10">
        <f t="shared" si="7"/>
        <v>9.564078578110384E-2</v>
      </c>
    </row>
    <row r="291" spans="1:12" ht="14.25" customHeight="1" x14ac:dyDescent="0.3">
      <c r="A291" s="6" t="s">
        <v>315</v>
      </c>
      <c r="B291" s="6" t="s">
        <v>19</v>
      </c>
      <c r="C291" s="7">
        <v>46000</v>
      </c>
      <c r="D291" s="6" t="s">
        <v>20</v>
      </c>
      <c r="E291" s="8">
        <v>65898</v>
      </c>
      <c r="F291" s="8">
        <v>58771</v>
      </c>
      <c r="G291" s="8">
        <v>667</v>
      </c>
      <c r="H291" s="8">
        <v>59</v>
      </c>
      <c r="I291" s="8">
        <v>1074</v>
      </c>
      <c r="J291" s="19">
        <f t="shared" si="8"/>
        <v>2.7314941272876262E-2</v>
      </c>
      <c r="K291" s="9">
        <v>3.06</v>
      </c>
      <c r="L291" s="10">
        <f t="shared" si="7"/>
        <v>2.7314941272876262E-2</v>
      </c>
    </row>
    <row r="292" spans="1:12" ht="14.25" customHeight="1" x14ac:dyDescent="0.3">
      <c r="A292" s="6" t="s">
        <v>316</v>
      </c>
      <c r="B292" s="6" t="s">
        <v>22</v>
      </c>
      <c r="C292" s="7">
        <v>45486</v>
      </c>
      <c r="D292" s="6" t="s">
        <v>23</v>
      </c>
      <c r="E292" s="8">
        <v>162631</v>
      </c>
      <c r="F292" s="8">
        <v>81462</v>
      </c>
      <c r="G292" s="8">
        <v>9603</v>
      </c>
      <c r="H292" s="8">
        <v>1326</v>
      </c>
      <c r="I292" s="8">
        <v>1988</v>
      </c>
      <c r="J292" s="19">
        <f t="shared" si="8"/>
        <v>7.9425201837288101E-2</v>
      </c>
      <c r="K292" s="9">
        <v>15.86</v>
      </c>
      <c r="L292" s="10">
        <f t="shared" si="7"/>
        <v>7.9425201837288101E-2</v>
      </c>
    </row>
    <row r="293" spans="1:12" ht="14.25" customHeight="1" x14ac:dyDescent="0.3">
      <c r="A293" s="6" t="s">
        <v>317</v>
      </c>
      <c r="B293" s="6" t="s">
        <v>22</v>
      </c>
      <c r="C293" s="7">
        <v>45734</v>
      </c>
      <c r="D293" s="6" t="s">
        <v>20</v>
      </c>
      <c r="E293" s="8">
        <v>335925</v>
      </c>
      <c r="F293" s="8">
        <v>206102</v>
      </c>
      <c r="G293" s="8">
        <v>22794</v>
      </c>
      <c r="H293" s="8">
        <v>4283</v>
      </c>
      <c r="I293" s="8">
        <v>6109</v>
      </c>
      <c r="J293" s="19">
        <f t="shared" si="8"/>
        <v>9.8789908461710207E-2</v>
      </c>
      <c r="K293" s="9">
        <v>16.100000000000001</v>
      </c>
      <c r="L293" s="10">
        <f t="shared" si="7"/>
        <v>9.8789908461710207E-2</v>
      </c>
    </row>
    <row r="294" spans="1:12" ht="14.25" customHeight="1" x14ac:dyDescent="0.3">
      <c r="A294" s="6" t="s">
        <v>318</v>
      </c>
      <c r="B294" s="6" t="s">
        <v>22</v>
      </c>
      <c r="C294" s="7">
        <v>45766</v>
      </c>
      <c r="D294" s="6" t="s">
        <v>23</v>
      </c>
      <c r="E294" s="8">
        <v>327720</v>
      </c>
      <c r="F294" s="8">
        <v>113540</v>
      </c>
      <c r="G294" s="8">
        <v>10924</v>
      </c>
      <c r="H294" s="8">
        <v>1235</v>
      </c>
      <c r="I294" s="8">
        <v>2980</v>
      </c>
      <c r="J294" s="19">
        <f t="shared" si="8"/>
        <v>4.6194922494812642E-2</v>
      </c>
      <c r="K294" s="9">
        <v>13.33</v>
      </c>
      <c r="L294" s="10">
        <f t="shared" si="7"/>
        <v>4.6194922494812642E-2</v>
      </c>
    </row>
    <row r="295" spans="1:12" ht="14.25" customHeight="1" x14ac:dyDescent="0.3">
      <c r="A295" s="6" t="s">
        <v>319</v>
      </c>
      <c r="B295" s="6" t="s">
        <v>22</v>
      </c>
      <c r="C295" s="7">
        <v>45529</v>
      </c>
      <c r="D295" s="6" t="s">
        <v>20</v>
      </c>
      <c r="E295" s="8">
        <v>264001</v>
      </c>
      <c r="F295" s="8">
        <v>115285</v>
      </c>
      <c r="G295" s="8">
        <v>4168</v>
      </c>
      <c r="H295" s="8">
        <v>2054</v>
      </c>
      <c r="I295" s="8">
        <v>4790</v>
      </c>
      <c r="J295" s="19">
        <f t="shared" si="8"/>
        <v>4.1711963212260561E-2</v>
      </c>
      <c r="K295" s="9">
        <v>9.5500000000000007</v>
      </c>
      <c r="L295" s="10">
        <f t="shared" si="7"/>
        <v>4.1711963212260561E-2</v>
      </c>
    </row>
    <row r="296" spans="1:12" ht="14.25" customHeight="1" x14ac:dyDescent="0.3">
      <c r="A296" s="6" t="s">
        <v>320</v>
      </c>
      <c r="B296" s="6" t="s">
        <v>30</v>
      </c>
      <c r="C296" s="7">
        <v>45325</v>
      </c>
      <c r="D296" s="6" t="s">
        <v>14</v>
      </c>
      <c r="E296" s="8">
        <v>8569</v>
      </c>
      <c r="F296" s="8">
        <v>5583</v>
      </c>
      <c r="G296" s="8">
        <v>211</v>
      </c>
      <c r="H296" s="8">
        <v>114</v>
      </c>
      <c r="I296" s="8">
        <v>20</v>
      </c>
      <c r="J296" s="19">
        <f t="shared" si="8"/>
        <v>4.026140739876298E-2</v>
      </c>
      <c r="K296" s="9">
        <v>6.18</v>
      </c>
      <c r="L296" s="10">
        <f t="shared" si="7"/>
        <v>4.026140739876298E-2</v>
      </c>
    </row>
    <row r="297" spans="1:12" ht="14.25" customHeight="1" x14ac:dyDescent="0.3">
      <c r="A297" s="6" t="s">
        <v>321</v>
      </c>
      <c r="B297" s="6" t="s">
        <v>22</v>
      </c>
      <c r="C297" s="7">
        <v>45801</v>
      </c>
      <c r="D297" s="6" t="s">
        <v>23</v>
      </c>
      <c r="E297" s="8">
        <v>234440</v>
      </c>
      <c r="F297" s="8">
        <v>94642</v>
      </c>
      <c r="G297" s="8">
        <v>4690</v>
      </c>
      <c r="H297" s="8">
        <v>1249</v>
      </c>
      <c r="I297" s="8">
        <v>1602</v>
      </c>
      <c r="J297" s="19">
        <f t="shared" si="8"/>
        <v>3.2166012625831769E-2</v>
      </c>
      <c r="K297" s="9">
        <v>7.97</v>
      </c>
      <c r="L297" s="10">
        <f t="shared" si="7"/>
        <v>3.2166012625831769E-2</v>
      </c>
    </row>
    <row r="298" spans="1:12" ht="14.25" customHeight="1" x14ac:dyDescent="0.3">
      <c r="A298" s="6" t="s">
        <v>322</v>
      </c>
      <c r="B298" s="6" t="s">
        <v>16</v>
      </c>
      <c r="C298" s="7">
        <v>45940</v>
      </c>
      <c r="D298" s="6" t="s">
        <v>20</v>
      </c>
      <c r="E298" s="8">
        <v>21886</v>
      </c>
      <c r="F298" s="8">
        <v>12065</v>
      </c>
      <c r="G298" s="8">
        <v>810</v>
      </c>
      <c r="H298" s="8">
        <v>125</v>
      </c>
      <c r="I298" s="8">
        <v>31</v>
      </c>
      <c r="J298" s="19">
        <f t="shared" si="8"/>
        <v>4.4137804989490999E-2</v>
      </c>
      <c r="K298" s="9">
        <v>8.01</v>
      </c>
      <c r="L298" s="10">
        <f t="shared" si="7"/>
        <v>4.4137804989490999E-2</v>
      </c>
    </row>
    <row r="299" spans="1:12" ht="14.25" customHeight="1" x14ac:dyDescent="0.3">
      <c r="A299" s="6" t="s">
        <v>323</v>
      </c>
      <c r="B299" s="6" t="s">
        <v>16</v>
      </c>
      <c r="C299" s="7">
        <v>45397</v>
      </c>
      <c r="D299" s="6" t="s">
        <v>25</v>
      </c>
      <c r="E299" s="8">
        <v>46055</v>
      </c>
      <c r="F299" s="8">
        <v>30899</v>
      </c>
      <c r="G299" s="8">
        <v>925</v>
      </c>
      <c r="H299" s="8">
        <v>408</v>
      </c>
      <c r="I299" s="8">
        <v>128</v>
      </c>
      <c r="J299" s="19">
        <f t="shared" si="8"/>
        <v>3.1722939963087615E-2</v>
      </c>
      <c r="K299" s="9">
        <v>4.7300000000000004</v>
      </c>
      <c r="L299" s="10">
        <f t="shared" si="7"/>
        <v>3.1722939963087615E-2</v>
      </c>
    </row>
    <row r="300" spans="1:12" ht="14.25" customHeight="1" x14ac:dyDescent="0.3">
      <c r="A300" s="6" t="s">
        <v>324</v>
      </c>
      <c r="B300" s="6" t="s">
        <v>30</v>
      </c>
      <c r="C300" s="7">
        <v>45336</v>
      </c>
      <c r="D300" s="6" t="s">
        <v>20</v>
      </c>
      <c r="E300" s="8">
        <v>32987</v>
      </c>
      <c r="F300" s="8">
        <v>20391</v>
      </c>
      <c r="G300" s="8">
        <v>898</v>
      </c>
      <c r="H300" s="8">
        <v>496</v>
      </c>
      <c r="I300" s="8">
        <v>105</v>
      </c>
      <c r="J300" s="19">
        <f t="shared" si="8"/>
        <v>4.5442143874859793E-2</v>
      </c>
      <c r="K300" s="9">
        <v>7.35</v>
      </c>
      <c r="L300" s="10">
        <f t="shared" si="7"/>
        <v>4.5442143874859793E-2</v>
      </c>
    </row>
    <row r="301" spans="1:12" ht="14.25" customHeight="1" x14ac:dyDescent="0.3">
      <c r="A301" s="6" t="s">
        <v>325</v>
      </c>
      <c r="B301" s="6" t="s">
        <v>16</v>
      </c>
      <c r="C301" s="7">
        <v>45554</v>
      </c>
      <c r="D301" s="6" t="s">
        <v>17</v>
      </c>
      <c r="E301" s="8">
        <v>19452</v>
      </c>
      <c r="F301" s="8">
        <v>12056</v>
      </c>
      <c r="G301" s="8">
        <v>928</v>
      </c>
      <c r="H301" s="8">
        <v>152</v>
      </c>
      <c r="I301" s="8">
        <v>26</v>
      </c>
      <c r="J301" s="19">
        <f t="shared" si="8"/>
        <v>5.6857906641990544E-2</v>
      </c>
      <c r="K301" s="9">
        <v>9.17</v>
      </c>
      <c r="L301" s="10">
        <f t="shared" si="7"/>
        <v>5.6857906641990544E-2</v>
      </c>
    </row>
    <row r="302" spans="1:12" ht="14.25" customHeight="1" x14ac:dyDescent="0.3">
      <c r="A302" s="6" t="s">
        <v>326</v>
      </c>
      <c r="B302" s="6" t="s">
        <v>13</v>
      </c>
      <c r="C302" s="7">
        <v>45297</v>
      </c>
      <c r="D302" s="6" t="s">
        <v>20</v>
      </c>
      <c r="E302" s="8">
        <v>39173</v>
      </c>
      <c r="F302" s="8">
        <v>14507</v>
      </c>
      <c r="G302" s="8">
        <v>674</v>
      </c>
      <c r="H302" s="8">
        <v>179</v>
      </c>
      <c r="I302" s="8">
        <v>428</v>
      </c>
      <c r="J302" s="19">
        <f t="shared" si="8"/>
        <v>3.2701095142062132E-2</v>
      </c>
      <c r="K302" s="9">
        <v>8.83</v>
      </c>
      <c r="L302" s="10">
        <f t="shared" si="7"/>
        <v>3.2701095142062132E-2</v>
      </c>
    </row>
    <row r="303" spans="1:12" ht="14.25" customHeight="1" x14ac:dyDescent="0.3">
      <c r="A303" s="6" t="s">
        <v>327</v>
      </c>
      <c r="B303" s="6" t="s">
        <v>19</v>
      </c>
      <c r="C303" s="7">
        <v>46016</v>
      </c>
      <c r="D303" s="6" t="s">
        <v>20</v>
      </c>
      <c r="E303" s="8">
        <v>7902</v>
      </c>
      <c r="F303" s="8">
        <v>6279</v>
      </c>
      <c r="G303" s="8">
        <v>145</v>
      </c>
      <c r="H303" s="8">
        <v>34</v>
      </c>
      <c r="I303" s="8">
        <v>106</v>
      </c>
      <c r="J303" s="19">
        <f t="shared" si="8"/>
        <v>3.6066818526955202E-2</v>
      </c>
      <c r="K303" s="9">
        <v>4.54</v>
      </c>
      <c r="L303" s="10">
        <f t="shared" si="7"/>
        <v>3.6066818526955202E-2</v>
      </c>
    </row>
    <row r="304" spans="1:12" ht="14.25" customHeight="1" x14ac:dyDescent="0.3">
      <c r="A304" s="6" t="s">
        <v>328</v>
      </c>
      <c r="B304" s="6" t="s">
        <v>22</v>
      </c>
      <c r="C304" s="7">
        <v>45856</v>
      </c>
      <c r="D304" s="6" t="s">
        <v>20</v>
      </c>
      <c r="E304" s="8">
        <v>179612</v>
      </c>
      <c r="F304" s="8">
        <v>121236</v>
      </c>
      <c r="G304" s="8">
        <v>13155</v>
      </c>
      <c r="H304" s="8">
        <v>2428</v>
      </c>
      <c r="I304" s="8">
        <v>1907</v>
      </c>
      <c r="J304" s="19">
        <f t="shared" si="8"/>
        <v>9.7376567267220451E-2</v>
      </c>
      <c r="K304" s="9">
        <v>14.43</v>
      </c>
      <c r="L304" s="10">
        <f t="shared" si="7"/>
        <v>9.7376567267220451E-2</v>
      </c>
    </row>
    <row r="305" spans="1:12" ht="14.25" customHeight="1" x14ac:dyDescent="0.3">
      <c r="A305" s="6" t="s">
        <v>329</v>
      </c>
      <c r="B305" s="6" t="s">
        <v>30</v>
      </c>
      <c r="C305" s="7">
        <v>45998</v>
      </c>
      <c r="D305" s="6" t="s">
        <v>17</v>
      </c>
      <c r="E305" s="8">
        <v>13777</v>
      </c>
      <c r="F305" s="8">
        <v>10680</v>
      </c>
      <c r="G305" s="8">
        <v>458</v>
      </c>
      <c r="H305" s="8">
        <v>101</v>
      </c>
      <c r="I305" s="8">
        <v>126</v>
      </c>
      <c r="J305" s="19">
        <f t="shared" si="8"/>
        <v>4.9720548740654714E-2</v>
      </c>
      <c r="K305" s="9">
        <v>6.41</v>
      </c>
      <c r="L305" s="10">
        <f t="shared" si="7"/>
        <v>4.9720548740654714E-2</v>
      </c>
    </row>
    <row r="306" spans="1:12" ht="14.25" customHeight="1" x14ac:dyDescent="0.3">
      <c r="A306" s="6" t="s">
        <v>330</v>
      </c>
      <c r="B306" s="6" t="s">
        <v>16</v>
      </c>
      <c r="C306" s="7">
        <v>45319</v>
      </c>
      <c r="D306" s="6" t="s">
        <v>20</v>
      </c>
      <c r="E306" s="8">
        <v>21373</v>
      </c>
      <c r="F306" s="8">
        <v>11115</v>
      </c>
      <c r="G306" s="8">
        <v>472</v>
      </c>
      <c r="H306" s="8">
        <v>31</v>
      </c>
      <c r="I306" s="8">
        <v>34</v>
      </c>
      <c r="J306" s="19">
        <f t="shared" si="8"/>
        <v>2.5125157909512003E-2</v>
      </c>
      <c r="K306" s="9">
        <v>4.83</v>
      </c>
      <c r="L306" s="10">
        <f t="shared" si="7"/>
        <v>2.5125157909512003E-2</v>
      </c>
    </row>
    <row r="307" spans="1:12" ht="14.25" customHeight="1" x14ac:dyDescent="0.3">
      <c r="A307" s="6" t="s">
        <v>331</v>
      </c>
      <c r="B307" s="6" t="s">
        <v>13</v>
      </c>
      <c r="C307" s="7">
        <v>45712</v>
      </c>
      <c r="D307" s="6" t="s">
        <v>20</v>
      </c>
      <c r="E307" s="8">
        <v>17863</v>
      </c>
      <c r="F307" s="8">
        <v>6969</v>
      </c>
      <c r="G307" s="8">
        <v>286</v>
      </c>
      <c r="H307" s="8">
        <v>48</v>
      </c>
      <c r="I307" s="8">
        <v>141</v>
      </c>
      <c r="J307" s="19">
        <f t="shared" si="8"/>
        <v>2.6591278060796059E-2</v>
      </c>
      <c r="K307" s="9">
        <v>6.82</v>
      </c>
      <c r="L307" s="10">
        <f t="shared" si="7"/>
        <v>2.6591278060796059E-2</v>
      </c>
    </row>
    <row r="308" spans="1:12" ht="14.25" customHeight="1" x14ac:dyDescent="0.3">
      <c r="A308" s="6" t="s">
        <v>332</v>
      </c>
      <c r="B308" s="6" t="s">
        <v>19</v>
      </c>
      <c r="C308" s="7">
        <v>45508</v>
      </c>
      <c r="D308" s="6" t="s">
        <v>17</v>
      </c>
      <c r="E308" s="8">
        <v>805</v>
      </c>
      <c r="F308" s="8">
        <v>681</v>
      </c>
      <c r="G308" s="8">
        <v>13</v>
      </c>
      <c r="H308" s="8">
        <v>0</v>
      </c>
      <c r="I308" s="8">
        <v>12</v>
      </c>
      <c r="J308" s="19">
        <f t="shared" si="8"/>
        <v>3.1055900621118012E-2</v>
      </c>
      <c r="K308" s="9">
        <v>3.67</v>
      </c>
      <c r="L308" s="10">
        <f t="shared" si="7"/>
        <v>3.1055900621118012E-2</v>
      </c>
    </row>
    <row r="309" spans="1:12" ht="14.25" customHeight="1" x14ac:dyDescent="0.3">
      <c r="A309" s="6" t="s">
        <v>333</v>
      </c>
      <c r="B309" s="6" t="s">
        <v>13</v>
      </c>
      <c r="C309" s="7">
        <v>45346</v>
      </c>
      <c r="D309" s="6" t="s">
        <v>14</v>
      </c>
      <c r="E309" s="8">
        <v>22335</v>
      </c>
      <c r="F309" s="8">
        <v>7481</v>
      </c>
      <c r="G309" s="8">
        <v>117</v>
      </c>
      <c r="H309" s="8">
        <v>51</v>
      </c>
      <c r="I309" s="8">
        <v>202</v>
      </c>
      <c r="J309" s="19">
        <f t="shared" si="8"/>
        <v>1.6565927915827176E-2</v>
      </c>
      <c r="K309" s="9">
        <v>4.95</v>
      </c>
      <c r="L309" s="10">
        <f t="shared" si="7"/>
        <v>1.6565927915827176E-2</v>
      </c>
    </row>
    <row r="310" spans="1:12" ht="14.25" customHeight="1" x14ac:dyDescent="0.3">
      <c r="A310" s="6" t="s">
        <v>334</v>
      </c>
      <c r="B310" s="6" t="s">
        <v>30</v>
      </c>
      <c r="C310" s="7">
        <v>45321</v>
      </c>
      <c r="D310" s="6" t="s">
        <v>20</v>
      </c>
      <c r="E310" s="8">
        <v>21766</v>
      </c>
      <c r="F310" s="8">
        <v>17113</v>
      </c>
      <c r="G310" s="8">
        <v>572</v>
      </c>
      <c r="H310" s="8">
        <v>249</v>
      </c>
      <c r="I310" s="8">
        <v>239</v>
      </c>
      <c r="J310" s="19">
        <f t="shared" si="8"/>
        <v>4.8699807038500416E-2</v>
      </c>
      <c r="K310" s="9">
        <v>6.19</v>
      </c>
      <c r="L310" s="10">
        <f t="shared" si="7"/>
        <v>4.8699807038500416E-2</v>
      </c>
    </row>
    <row r="311" spans="1:12" ht="14.25" customHeight="1" x14ac:dyDescent="0.3">
      <c r="A311" s="6" t="s">
        <v>335</v>
      </c>
      <c r="B311" s="6" t="s">
        <v>22</v>
      </c>
      <c r="C311" s="7">
        <v>46003</v>
      </c>
      <c r="D311" s="6" t="s">
        <v>23</v>
      </c>
      <c r="E311" s="8">
        <v>221514</v>
      </c>
      <c r="F311" s="8">
        <v>79009</v>
      </c>
      <c r="G311" s="8">
        <v>4522</v>
      </c>
      <c r="H311" s="8">
        <v>723</v>
      </c>
      <c r="I311" s="8">
        <v>3424</v>
      </c>
      <c r="J311" s="19">
        <f t="shared" si="8"/>
        <v>3.9135223958756557E-2</v>
      </c>
      <c r="K311" s="9">
        <v>10.97</v>
      </c>
      <c r="L311" s="10">
        <f t="shared" si="7"/>
        <v>3.9135223958756557E-2</v>
      </c>
    </row>
    <row r="312" spans="1:12" ht="14.25" customHeight="1" x14ac:dyDescent="0.3">
      <c r="A312" s="6" t="s">
        <v>336</v>
      </c>
      <c r="B312" s="6" t="s">
        <v>22</v>
      </c>
      <c r="C312" s="7">
        <v>45403</v>
      </c>
      <c r="D312" s="6" t="s">
        <v>20</v>
      </c>
      <c r="E312" s="8">
        <v>486111</v>
      </c>
      <c r="F312" s="8">
        <v>244556</v>
      </c>
      <c r="G312" s="8">
        <v>28634</v>
      </c>
      <c r="H312" s="8">
        <v>6389</v>
      </c>
      <c r="I312" s="8">
        <v>6666</v>
      </c>
      <c r="J312" s="19">
        <f t="shared" si="8"/>
        <v>8.5760248173771009E-2</v>
      </c>
      <c r="K312" s="9">
        <v>17.05</v>
      </c>
      <c r="L312" s="10">
        <f t="shared" si="7"/>
        <v>8.5760248173771009E-2</v>
      </c>
    </row>
    <row r="313" spans="1:12" ht="14.25" customHeight="1" x14ac:dyDescent="0.3">
      <c r="A313" s="6" t="s">
        <v>337</v>
      </c>
      <c r="B313" s="6" t="s">
        <v>16</v>
      </c>
      <c r="C313" s="7">
        <v>45581</v>
      </c>
      <c r="D313" s="6" t="s">
        <v>23</v>
      </c>
      <c r="E313" s="8">
        <v>25657</v>
      </c>
      <c r="F313" s="8">
        <v>12582</v>
      </c>
      <c r="G313" s="8">
        <v>378</v>
      </c>
      <c r="H313" s="8">
        <v>143</v>
      </c>
      <c r="I313" s="8">
        <v>70</v>
      </c>
      <c r="J313" s="19">
        <f t="shared" si="8"/>
        <v>2.3034649413415442E-2</v>
      </c>
      <c r="K313" s="9">
        <v>4.7</v>
      </c>
      <c r="L313" s="10">
        <f t="shared" si="7"/>
        <v>2.3034649413415442E-2</v>
      </c>
    </row>
    <row r="314" spans="1:12" ht="14.25" customHeight="1" x14ac:dyDescent="0.3">
      <c r="A314" s="6" t="s">
        <v>338</v>
      </c>
      <c r="B314" s="6" t="s">
        <v>22</v>
      </c>
      <c r="C314" s="7">
        <v>45955</v>
      </c>
      <c r="D314" s="6" t="s">
        <v>23</v>
      </c>
      <c r="E314" s="8">
        <v>217580</v>
      </c>
      <c r="F314" s="8">
        <v>151146</v>
      </c>
      <c r="G314" s="8">
        <v>8855</v>
      </c>
      <c r="H314" s="8">
        <v>3232</v>
      </c>
      <c r="I314" s="8">
        <v>3214</v>
      </c>
      <c r="J314" s="19">
        <f t="shared" si="8"/>
        <v>7.0323559150657231E-2</v>
      </c>
      <c r="K314" s="9">
        <v>10.119999999999999</v>
      </c>
      <c r="L314" s="10">
        <f t="shared" si="7"/>
        <v>7.0323559150657231E-2</v>
      </c>
    </row>
    <row r="315" spans="1:12" ht="14.25" customHeight="1" x14ac:dyDescent="0.3">
      <c r="A315" s="6" t="s">
        <v>339</v>
      </c>
      <c r="B315" s="6" t="s">
        <v>16</v>
      </c>
      <c r="C315" s="7">
        <v>45607</v>
      </c>
      <c r="D315" s="6" t="s">
        <v>25</v>
      </c>
      <c r="E315" s="8">
        <v>34200</v>
      </c>
      <c r="F315" s="8">
        <v>16557</v>
      </c>
      <c r="G315" s="8">
        <v>538</v>
      </c>
      <c r="H315" s="8">
        <v>120</v>
      </c>
      <c r="I315" s="8">
        <v>128</v>
      </c>
      <c r="J315" s="19">
        <f t="shared" si="8"/>
        <v>2.2982456140350879E-2</v>
      </c>
      <c r="K315" s="9">
        <v>4.75</v>
      </c>
      <c r="L315" s="10">
        <f t="shared" si="7"/>
        <v>2.2982456140350879E-2</v>
      </c>
    </row>
    <row r="316" spans="1:12" ht="14.25" customHeight="1" x14ac:dyDescent="0.3">
      <c r="A316" s="6" t="s">
        <v>340</v>
      </c>
      <c r="B316" s="6" t="s">
        <v>13</v>
      </c>
      <c r="C316" s="7">
        <v>45669</v>
      </c>
      <c r="D316" s="6" t="s">
        <v>17</v>
      </c>
      <c r="E316" s="8">
        <v>3795</v>
      </c>
      <c r="F316" s="8">
        <v>1430</v>
      </c>
      <c r="G316" s="8">
        <v>25</v>
      </c>
      <c r="H316" s="8">
        <v>17</v>
      </c>
      <c r="I316" s="8">
        <v>35</v>
      </c>
      <c r="J316" s="19">
        <f t="shared" si="8"/>
        <v>2.0289855072463767E-2</v>
      </c>
      <c r="K316" s="9">
        <v>5.38</v>
      </c>
      <c r="L316" s="10">
        <f t="shared" si="7"/>
        <v>2.0289855072463767E-2</v>
      </c>
    </row>
    <row r="317" spans="1:12" ht="14.25" customHeight="1" x14ac:dyDescent="0.3">
      <c r="A317" s="6" t="s">
        <v>341</v>
      </c>
      <c r="B317" s="6" t="s">
        <v>16</v>
      </c>
      <c r="C317" s="7">
        <v>45556</v>
      </c>
      <c r="D317" s="6" t="s">
        <v>23</v>
      </c>
      <c r="E317" s="8">
        <v>94750</v>
      </c>
      <c r="F317" s="8">
        <v>68512</v>
      </c>
      <c r="G317" s="8">
        <v>2924</v>
      </c>
      <c r="H317" s="8">
        <v>257</v>
      </c>
      <c r="I317" s="8">
        <v>590</v>
      </c>
      <c r="J317" s="19">
        <f t="shared" si="8"/>
        <v>3.9799472295514511E-2</v>
      </c>
      <c r="K317" s="9">
        <v>5.5</v>
      </c>
      <c r="L317" s="10">
        <f t="shared" si="7"/>
        <v>3.9799472295514511E-2</v>
      </c>
    </row>
    <row r="318" spans="1:12" ht="14.25" customHeight="1" x14ac:dyDescent="0.3">
      <c r="A318" s="6" t="s">
        <v>342</v>
      </c>
      <c r="B318" s="6" t="s">
        <v>22</v>
      </c>
      <c r="C318" s="7">
        <v>45763</v>
      </c>
      <c r="D318" s="6" t="s">
        <v>23</v>
      </c>
      <c r="E318" s="8">
        <v>306186</v>
      </c>
      <c r="F318" s="8">
        <v>114749</v>
      </c>
      <c r="G318" s="8">
        <v>11613</v>
      </c>
      <c r="H318" s="8">
        <v>2656</v>
      </c>
      <c r="I318" s="8">
        <v>1592</v>
      </c>
      <c r="J318" s="19">
        <f t="shared" si="8"/>
        <v>5.1801845936783525E-2</v>
      </c>
      <c r="K318" s="9">
        <v>13.82</v>
      </c>
      <c r="L318" s="10">
        <f t="shared" si="7"/>
        <v>5.1801845936783525E-2</v>
      </c>
    </row>
    <row r="319" spans="1:12" ht="14.25" customHeight="1" x14ac:dyDescent="0.3">
      <c r="A319" s="6" t="s">
        <v>343</v>
      </c>
      <c r="B319" s="6" t="s">
        <v>19</v>
      </c>
      <c r="C319" s="7">
        <v>45649</v>
      </c>
      <c r="D319" s="6" t="s">
        <v>14</v>
      </c>
      <c r="E319" s="8">
        <v>13381</v>
      </c>
      <c r="F319" s="8">
        <v>11208</v>
      </c>
      <c r="G319" s="8">
        <v>181</v>
      </c>
      <c r="H319" s="8">
        <v>44</v>
      </c>
      <c r="I319" s="8">
        <v>92</v>
      </c>
      <c r="J319" s="19">
        <f t="shared" si="8"/>
        <v>2.3690307151931843E-2</v>
      </c>
      <c r="K319" s="9">
        <v>2.83</v>
      </c>
      <c r="L319" s="10">
        <f t="shared" si="7"/>
        <v>2.3690307151931843E-2</v>
      </c>
    </row>
    <row r="320" spans="1:12" ht="14.25" customHeight="1" x14ac:dyDescent="0.3">
      <c r="A320" s="6" t="s">
        <v>344</v>
      </c>
      <c r="B320" s="6" t="s">
        <v>19</v>
      </c>
      <c r="C320" s="7">
        <v>45495</v>
      </c>
      <c r="D320" s="6" t="s">
        <v>14</v>
      </c>
      <c r="E320" s="8">
        <v>4088</v>
      </c>
      <c r="F320" s="8">
        <v>2737</v>
      </c>
      <c r="G320" s="8">
        <v>22</v>
      </c>
      <c r="H320" s="8">
        <v>14</v>
      </c>
      <c r="I320" s="8">
        <v>35</v>
      </c>
      <c r="J320" s="19">
        <f t="shared" si="8"/>
        <v>1.7367906066536203E-2</v>
      </c>
      <c r="K320" s="9">
        <v>2.59</v>
      </c>
      <c r="L320" s="10">
        <f t="shared" si="7"/>
        <v>1.7367906066536203E-2</v>
      </c>
    </row>
    <row r="321" spans="1:12" ht="14.25" customHeight="1" x14ac:dyDescent="0.3">
      <c r="A321" s="6" t="s">
        <v>345</v>
      </c>
      <c r="B321" s="6" t="s">
        <v>22</v>
      </c>
      <c r="C321" s="7">
        <v>45693</v>
      </c>
      <c r="D321" s="6" t="s">
        <v>20</v>
      </c>
      <c r="E321" s="8">
        <v>5598</v>
      </c>
      <c r="F321" s="8">
        <v>3682</v>
      </c>
      <c r="G321" s="8">
        <v>386</v>
      </c>
      <c r="H321" s="8">
        <v>49</v>
      </c>
      <c r="I321" s="8">
        <v>103</v>
      </c>
      <c r="J321" s="19">
        <f t="shared" si="8"/>
        <v>9.6105752054305105E-2</v>
      </c>
      <c r="K321" s="9">
        <v>14.61</v>
      </c>
      <c r="L321" s="10">
        <f t="shared" si="7"/>
        <v>9.6105752054305105E-2</v>
      </c>
    </row>
    <row r="322" spans="1:12" ht="14.25" customHeight="1" x14ac:dyDescent="0.3">
      <c r="A322" s="6" t="s">
        <v>346</v>
      </c>
      <c r="B322" s="6" t="s">
        <v>22</v>
      </c>
      <c r="C322" s="7">
        <v>45762</v>
      </c>
      <c r="D322" s="6" t="s">
        <v>20</v>
      </c>
      <c r="E322" s="8">
        <v>306705</v>
      </c>
      <c r="F322" s="8">
        <v>134992</v>
      </c>
      <c r="G322" s="8">
        <v>9568</v>
      </c>
      <c r="H322" s="8">
        <v>3423</v>
      </c>
      <c r="I322" s="8">
        <v>4805</v>
      </c>
      <c r="J322" s="19">
        <f t="shared" si="8"/>
        <v>5.8023181884873085E-2</v>
      </c>
      <c r="K322" s="9">
        <v>13.18</v>
      </c>
      <c r="L322" s="10">
        <f t="shared" si="7"/>
        <v>5.8023181884873085E-2</v>
      </c>
    </row>
    <row r="323" spans="1:12" ht="14.25" customHeight="1" x14ac:dyDescent="0.3">
      <c r="A323" s="6" t="s">
        <v>347</v>
      </c>
      <c r="B323" s="6" t="s">
        <v>30</v>
      </c>
      <c r="C323" s="7">
        <v>45915</v>
      </c>
      <c r="D323" s="6" t="s">
        <v>20</v>
      </c>
      <c r="E323" s="8">
        <v>30792</v>
      </c>
      <c r="F323" s="8">
        <v>12851</v>
      </c>
      <c r="G323" s="8">
        <v>505</v>
      </c>
      <c r="H323" s="8">
        <v>316</v>
      </c>
      <c r="I323" s="8">
        <v>165</v>
      </c>
      <c r="J323" s="19">
        <f t="shared" ref="J323:J386" si="9">(G323+H323+I323)/E323</f>
        <v>3.2021304234866196E-2</v>
      </c>
      <c r="K323" s="9">
        <v>7.67</v>
      </c>
      <c r="L323" s="10">
        <f t="shared" si="7"/>
        <v>3.2021304234866196E-2</v>
      </c>
    </row>
    <row r="324" spans="1:12" ht="14.25" customHeight="1" x14ac:dyDescent="0.3">
      <c r="A324" s="6" t="s">
        <v>348</v>
      </c>
      <c r="B324" s="6" t="s">
        <v>16</v>
      </c>
      <c r="C324" s="7">
        <v>45746</v>
      </c>
      <c r="D324" s="6" t="s">
        <v>23</v>
      </c>
      <c r="E324" s="8">
        <v>73153</v>
      </c>
      <c r="F324" s="8">
        <v>56905</v>
      </c>
      <c r="G324" s="8">
        <v>1484</v>
      </c>
      <c r="H324" s="8">
        <v>708</v>
      </c>
      <c r="I324" s="8">
        <v>160</v>
      </c>
      <c r="J324" s="19">
        <f t="shared" si="9"/>
        <v>3.2151791450794907E-2</v>
      </c>
      <c r="K324" s="9">
        <v>4.13</v>
      </c>
      <c r="L324" s="10">
        <f t="shared" si="7"/>
        <v>3.2151791450794907E-2</v>
      </c>
    </row>
    <row r="325" spans="1:12" ht="14.25" customHeight="1" x14ac:dyDescent="0.3">
      <c r="A325" s="6" t="s">
        <v>349</v>
      </c>
      <c r="B325" s="6" t="s">
        <v>13</v>
      </c>
      <c r="C325" s="7">
        <v>45624</v>
      </c>
      <c r="D325" s="6" t="s">
        <v>17</v>
      </c>
      <c r="E325" s="8">
        <v>10732</v>
      </c>
      <c r="F325" s="8">
        <v>3373</v>
      </c>
      <c r="G325" s="8">
        <v>123</v>
      </c>
      <c r="H325" s="8">
        <v>36</v>
      </c>
      <c r="I325" s="8">
        <v>44</v>
      </c>
      <c r="J325" s="19">
        <f t="shared" si="9"/>
        <v>1.8915393216548639E-2</v>
      </c>
      <c r="K325" s="9">
        <v>6.02</v>
      </c>
      <c r="L325" s="10">
        <f t="shared" si="7"/>
        <v>1.8915393216548639E-2</v>
      </c>
    </row>
    <row r="326" spans="1:12" ht="14.25" customHeight="1" x14ac:dyDescent="0.3">
      <c r="A326" s="6" t="s">
        <v>350</v>
      </c>
      <c r="B326" s="6" t="s">
        <v>16</v>
      </c>
      <c r="C326" s="7">
        <v>45546</v>
      </c>
      <c r="D326" s="6" t="s">
        <v>20</v>
      </c>
      <c r="E326" s="8">
        <v>93195</v>
      </c>
      <c r="F326" s="8">
        <v>60976</v>
      </c>
      <c r="G326" s="8">
        <v>3788</v>
      </c>
      <c r="H326" s="8">
        <v>358</v>
      </c>
      <c r="I326" s="8">
        <v>80</v>
      </c>
      <c r="J326" s="19">
        <f t="shared" si="9"/>
        <v>4.5345780353023231E-2</v>
      </c>
      <c r="K326" s="9">
        <v>6.93</v>
      </c>
      <c r="L326" s="10">
        <f t="shared" si="7"/>
        <v>4.5345780353023231E-2</v>
      </c>
    </row>
    <row r="327" spans="1:12" ht="14.25" customHeight="1" x14ac:dyDescent="0.3">
      <c r="A327" s="6" t="s">
        <v>351</v>
      </c>
      <c r="B327" s="6" t="s">
        <v>30</v>
      </c>
      <c r="C327" s="7">
        <v>45386</v>
      </c>
      <c r="D327" s="6" t="s">
        <v>17</v>
      </c>
      <c r="E327" s="8">
        <v>17412</v>
      </c>
      <c r="F327" s="8">
        <v>7956</v>
      </c>
      <c r="G327" s="8">
        <v>294</v>
      </c>
      <c r="H327" s="8">
        <v>74</v>
      </c>
      <c r="I327" s="8">
        <v>45</v>
      </c>
      <c r="J327" s="19">
        <f t="shared" si="9"/>
        <v>2.3719274063864003E-2</v>
      </c>
      <c r="K327" s="9">
        <v>5.19</v>
      </c>
      <c r="L327" s="10">
        <f t="shared" si="7"/>
        <v>2.3719274063864003E-2</v>
      </c>
    </row>
    <row r="328" spans="1:12" ht="14.25" customHeight="1" x14ac:dyDescent="0.3">
      <c r="A328" s="6" t="s">
        <v>352</v>
      </c>
      <c r="B328" s="6" t="s">
        <v>16</v>
      </c>
      <c r="C328" s="7">
        <v>45733</v>
      </c>
      <c r="D328" s="6" t="s">
        <v>25</v>
      </c>
      <c r="E328" s="8">
        <v>25766</v>
      </c>
      <c r="F328" s="8">
        <v>17472</v>
      </c>
      <c r="G328" s="8">
        <v>398</v>
      </c>
      <c r="H328" s="8">
        <v>35</v>
      </c>
      <c r="I328" s="8">
        <v>33</v>
      </c>
      <c r="J328" s="19">
        <f t="shared" si="9"/>
        <v>1.808584956919972E-2</v>
      </c>
      <c r="K328" s="9">
        <v>2.67</v>
      </c>
      <c r="L328" s="10">
        <f t="shared" si="7"/>
        <v>1.808584956919972E-2</v>
      </c>
    </row>
    <row r="329" spans="1:12" ht="14.25" customHeight="1" x14ac:dyDescent="0.3">
      <c r="A329" s="6" t="s">
        <v>353</v>
      </c>
      <c r="B329" s="6" t="s">
        <v>30</v>
      </c>
      <c r="C329" s="7">
        <v>45752</v>
      </c>
      <c r="D329" s="6" t="s">
        <v>25</v>
      </c>
      <c r="E329" s="8">
        <v>21648</v>
      </c>
      <c r="F329" s="8">
        <v>14255</v>
      </c>
      <c r="G329" s="8">
        <v>236</v>
      </c>
      <c r="H329" s="8">
        <v>212</v>
      </c>
      <c r="I329" s="8">
        <v>114</v>
      </c>
      <c r="J329" s="19">
        <f t="shared" si="9"/>
        <v>2.5960827790096081E-2</v>
      </c>
      <c r="K329" s="9">
        <v>3.94</v>
      </c>
      <c r="L329" s="10">
        <f t="shared" si="7"/>
        <v>2.5960827790096081E-2</v>
      </c>
    </row>
    <row r="330" spans="1:12" ht="14.25" customHeight="1" x14ac:dyDescent="0.3">
      <c r="A330" s="6" t="s">
        <v>354</v>
      </c>
      <c r="B330" s="6" t="s">
        <v>13</v>
      </c>
      <c r="C330" s="7">
        <v>45938</v>
      </c>
      <c r="D330" s="6" t="s">
        <v>25</v>
      </c>
      <c r="E330" s="8">
        <v>19688</v>
      </c>
      <c r="F330" s="8">
        <v>9234</v>
      </c>
      <c r="G330" s="8">
        <v>144</v>
      </c>
      <c r="H330" s="8">
        <v>38</v>
      </c>
      <c r="I330" s="8">
        <v>143</v>
      </c>
      <c r="J330" s="19">
        <f t="shared" si="9"/>
        <v>1.6507517269402684E-2</v>
      </c>
      <c r="K330" s="9">
        <v>3.52</v>
      </c>
      <c r="L330" s="10">
        <f t="shared" si="7"/>
        <v>1.6507517269402684E-2</v>
      </c>
    </row>
    <row r="331" spans="1:12" ht="14.25" customHeight="1" x14ac:dyDescent="0.3">
      <c r="A331" s="6" t="s">
        <v>355</v>
      </c>
      <c r="B331" s="6" t="s">
        <v>13</v>
      </c>
      <c r="C331" s="7">
        <v>45982</v>
      </c>
      <c r="D331" s="6" t="s">
        <v>14</v>
      </c>
      <c r="E331" s="8">
        <v>8513</v>
      </c>
      <c r="F331" s="8">
        <v>5731</v>
      </c>
      <c r="G331" s="8">
        <v>225</v>
      </c>
      <c r="H331" s="8">
        <v>19</v>
      </c>
      <c r="I331" s="8">
        <v>32</v>
      </c>
      <c r="J331" s="19">
        <f t="shared" si="9"/>
        <v>3.2421003171619875E-2</v>
      </c>
      <c r="K331" s="9">
        <v>4.82</v>
      </c>
      <c r="L331" s="10">
        <f t="shared" si="7"/>
        <v>3.2421003171619875E-2</v>
      </c>
    </row>
    <row r="332" spans="1:12" ht="14.25" customHeight="1" x14ac:dyDescent="0.3">
      <c r="A332" s="6" t="s">
        <v>356</v>
      </c>
      <c r="B332" s="6" t="s">
        <v>22</v>
      </c>
      <c r="C332" s="7">
        <v>45591</v>
      </c>
      <c r="D332" s="6" t="s">
        <v>23</v>
      </c>
      <c r="E332" s="8">
        <v>316751</v>
      </c>
      <c r="F332" s="8">
        <v>111513</v>
      </c>
      <c r="G332" s="8">
        <v>8271</v>
      </c>
      <c r="H332" s="8">
        <v>2148</v>
      </c>
      <c r="I332" s="8">
        <v>5564</v>
      </c>
      <c r="J332" s="19">
        <f t="shared" si="9"/>
        <v>5.0459193498994477E-2</v>
      </c>
      <c r="K332" s="9">
        <v>14.33</v>
      </c>
      <c r="L332" s="10">
        <f t="shared" si="7"/>
        <v>5.0459193498994477E-2</v>
      </c>
    </row>
    <row r="333" spans="1:12" ht="14.25" customHeight="1" x14ac:dyDescent="0.3">
      <c r="A333" s="6" t="s">
        <v>357</v>
      </c>
      <c r="B333" s="6" t="s">
        <v>30</v>
      </c>
      <c r="C333" s="7">
        <v>45602</v>
      </c>
      <c r="D333" s="6" t="s">
        <v>14</v>
      </c>
      <c r="E333" s="8">
        <v>10552</v>
      </c>
      <c r="F333" s="8">
        <v>7876</v>
      </c>
      <c r="G333" s="8">
        <v>129</v>
      </c>
      <c r="H333" s="8">
        <v>174</v>
      </c>
      <c r="I333" s="8">
        <v>50</v>
      </c>
      <c r="J333" s="19">
        <f t="shared" si="9"/>
        <v>3.3453373768006063E-2</v>
      </c>
      <c r="K333" s="9">
        <v>4.4800000000000004</v>
      </c>
      <c r="L333" s="10">
        <f t="shared" si="7"/>
        <v>3.3453373768006063E-2</v>
      </c>
    </row>
    <row r="334" spans="1:12" ht="14.25" customHeight="1" x14ac:dyDescent="0.3">
      <c r="A334" s="6" t="s">
        <v>358</v>
      </c>
      <c r="B334" s="6" t="s">
        <v>30</v>
      </c>
      <c r="C334" s="7">
        <v>45973</v>
      </c>
      <c r="D334" s="6" t="s">
        <v>25</v>
      </c>
      <c r="E334" s="8">
        <v>19145</v>
      </c>
      <c r="F334" s="8">
        <v>14594</v>
      </c>
      <c r="G334" s="8">
        <v>481</v>
      </c>
      <c r="H334" s="8">
        <v>185</v>
      </c>
      <c r="I334" s="8">
        <v>191</v>
      </c>
      <c r="J334" s="19">
        <f t="shared" si="9"/>
        <v>4.4763645860538E-2</v>
      </c>
      <c r="K334" s="9">
        <v>5.87</v>
      </c>
      <c r="L334" s="10">
        <f t="shared" si="7"/>
        <v>4.4763645860538E-2</v>
      </c>
    </row>
    <row r="335" spans="1:12" ht="14.25" customHeight="1" x14ac:dyDescent="0.3">
      <c r="A335" s="6" t="s">
        <v>359</v>
      </c>
      <c r="B335" s="6" t="s">
        <v>13</v>
      </c>
      <c r="C335" s="7">
        <v>45399</v>
      </c>
      <c r="D335" s="6" t="s">
        <v>25</v>
      </c>
      <c r="E335" s="8">
        <v>9138</v>
      </c>
      <c r="F335" s="8">
        <v>4166</v>
      </c>
      <c r="G335" s="8">
        <v>199</v>
      </c>
      <c r="H335" s="8">
        <v>16</v>
      </c>
      <c r="I335" s="8">
        <v>57</v>
      </c>
      <c r="J335" s="19">
        <f t="shared" si="9"/>
        <v>2.9765813088203107E-2</v>
      </c>
      <c r="K335" s="9">
        <v>6.53</v>
      </c>
      <c r="L335" s="10">
        <f t="shared" si="7"/>
        <v>2.9765813088203107E-2</v>
      </c>
    </row>
    <row r="336" spans="1:12" ht="14.25" customHeight="1" x14ac:dyDescent="0.3">
      <c r="A336" s="6" t="s">
        <v>360</v>
      </c>
      <c r="B336" s="6" t="s">
        <v>13</v>
      </c>
      <c r="C336" s="7">
        <v>45889</v>
      </c>
      <c r="D336" s="6" t="s">
        <v>25</v>
      </c>
      <c r="E336" s="8">
        <v>11044</v>
      </c>
      <c r="F336" s="8">
        <v>5138</v>
      </c>
      <c r="G336" s="8">
        <v>96</v>
      </c>
      <c r="H336" s="8">
        <v>25</v>
      </c>
      <c r="I336" s="8">
        <v>126</v>
      </c>
      <c r="J336" s="19">
        <f t="shared" si="9"/>
        <v>2.2365085114089099E-2</v>
      </c>
      <c r="K336" s="9">
        <v>4.8099999999999996</v>
      </c>
      <c r="L336" s="10">
        <f t="shared" si="7"/>
        <v>2.2365085114089099E-2</v>
      </c>
    </row>
    <row r="337" spans="1:12" ht="14.25" customHeight="1" x14ac:dyDescent="0.3">
      <c r="A337" s="6" t="s">
        <v>361</v>
      </c>
      <c r="B337" s="6" t="s">
        <v>19</v>
      </c>
      <c r="C337" s="7">
        <v>45909</v>
      </c>
      <c r="D337" s="6" t="s">
        <v>14</v>
      </c>
      <c r="E337" s="8">
        <v>12620</v>
      </c>
      <c r="F337" s="8">
        <v>6694</v>
      </c>
      <c r="G337" s="8">
        <v>170</v>
      </c>
      <c r="H337" s="8">
        <v>35</v>
      </c>
      <c r="I337" s="8">
        <v>66</v>
      </c>
      <c r="J337" s="19">
        <f t="shared" si="9"/>
        <v>2.1473851030110937E-2</v>
      </c>
      <c r="K337" s="9">
        <v>4.05</v>
      </c>
      <c r="L337" s="10">
        <f t="shared" si="7"/>
        <v>2.1473851030110937E-2</v>
      </c>
    </row>
    <row r="338" spans="1:12" ht="14.25" customHeight="1" x14ac:dyDescent="0.3">
      <c r="A338" s="6" t="s">
        <v>362</v>
      </c>
      <c r="B338" s="6" t="s">
        <v>22</v>
      </c>
      <c r="C338" s="7">
        <v>45948</v>
      </c>
      <c r="D338" s="6" t="s">
        <v>20</v>
      </c>
      <c r="E338" s="8">
        <v>247191</v>
      </c>
      <c r="F338" s="8">
        <v>128198</v>
      </c>
      <c r="G338" s="8">
        <v>5433</v>
      </c>
      <c r="H338" s="8">
        <v>2339</v>
      </c>
      <c r="I338" s="8">
        <v>2598</v>
      </c>
      <c r="J338" s="19">
        <f t="shared" si="9"/>
        <v>4.1951365543243892E-2</v>
      </c>
      <c r="K338" s="9">
        <v>8.09</v>
      </c>
      <c r="L338" s="10">
        <f t="shared" si="7"/>
        <v>4.1951365543243892E-2</v>
      </c>
    </row>
    <row r="339" spans="1:12" ht="14.25" customHeight="1" x14ac:dyDescent="0.3">
      <c r="A339" s="6" t="s">
        <v>363</v>
      </c>
      <c r="B339" s="6" t="s">
        <v>30</v>
      </c>
      <c r="C339" s="7">
        <v>45952</v>
      </c>
      <c r="D339" s="6" t="s">
        <v>25</v>
      </c>
      <c r="E339" s="8">
        <v>31709</v>
      </c>
      <c r="F339" s="8">
        <v>25229</v>
      </c>
      <c r="G339" s="8">
        <v>1330</v>
      </c>
      <c r="H339" s="8">
        <v>383</v>
      </c>
      <c r="I339" s="8">
        <v>261</v>
      </c>
      <c r="J339" s="19">
        <f t="shared" si="9"/>
        <v>6.2253618846384307E-2</v>
      </c>
      <c r="K339" s="9">
        <v>7.82</v>
      </c>
      <c r="L339" s="10">
        <f t="shared" si="7"/>
        <v>6.2253618846384307E-2</v>
      </c>
    </row>
    <row r="340" spans="1:12" ht="14.25" customHeight="1" x14ac:dyDescent="0.3">
      <c r="A340" s="6" t="s">
        <v>364</v>
      </c>
      <c r="B340" s="6" t="s">
        <v>13</v>
      </c>
      <c r="C340" s="7">
        <v>45452</v>
      </c>
      <c r="D340" s="6" t="s">
        <v>14</v>
      </c>
      <c r="E340" s="8">
        <v>29217</v>
      </c>
      <c r="F340" s="8">
        <v>17521</v>
      </c>
      <c r="G340" s="8">
        <v>533</v>
      </c>
      <c r="H340" s="8">
        <v>125</v>
      </c>
      <c r="I340" s="8">
        <v>231</v>
      </c>
      <c r="J340" s="19">
        <f t="shared" si="9"/>
        <v>3.0427490844371428E-2</v>
      </c>
      <c r="K340" s="9">
        <v>5.07</v>
      </c>
      <c r="L340" s="10">
        <f t="shared" si="7"/>
        <v>3.0427490844371428E-2</v>
      </c>
    </row>
    <row r="341" spans="1:12" ht="14.25" customHeight="1" x14ac:dyDescent="0.3">
      <c r="A341" s="6" t="s">
        <v>365</v>
      </c>
      <c r="B341" s="6" t="s">
        <v>16</v>
      </c>
      <c r="C341" s="7">
        <v>45744</v>
      </c>
      <c r="D341" s="6" t="s">
        <v>17</v>
      </c>
      <c r="E341" s="8">
        <v>8066</v>
      </c>
      <c r="F341" s="8">
        <v>4863</v>
      </c>
      <c r="G341" s="8">
        <v>215</v>
      </c>
      <c r="H341" s="8">
        <v>20</v>
      </c>
      <c r="I341" s="8">
        <v>17</v>
      </c>
      <c r="J341" s="19">
        <f t="shared" si="9"/>
        <v>3.1242251425737666E-2</v>
      </c>
      <c r="K341" s="9">
        <v>5.18</v>
      </c>
      <c r="L341" s="10">
        <f t="shared" si="7"/>
        <v>3.1242251425737666E-2</v>
      </c>
    </row>
    <row r="342" spans="1:12" ht="14.25" customHeight="1" x14ac:dyDescent="0.3">
      <c r="A342" s="6" t="s">
        <v>366</v>
      </c>
      <c r="B342" s="6" t="s">
        <v>22</v>
      </c>
      <c r="C342" s="7">
        <v>46002</v>
      </c>
      <c r="D342" s="6" t="s">
        <v>20</v>
      </c>
      <c r="E342" s="8">
        <v>264047</v>
      </c>
      <c r="F342" s="8">
        <v>81476</v>
      </c>
      <c r="G342" s="8">
        <v>3479</v>
      </c>
      <c r="H342" s="8">
        <v>618</v>
      </c>
      <c r="I342" s="8">
        <v>2604</v>
      </c>
      <c r="J342" s="19">
        <f t="shared" si="9"/>
        <v>2.5378057694274127E-2</v>
      </c>
      <c r="K342" s="9">
        <v>8.2200000000000006</v>
      </c>
      <c r="L342" s="10">
        <f t="shared" si="7"/>
        <v>2.5378057694274127E-2</v>
      </c>
    </row>
    <row r="343" spans="1:12" ht="14.25" customHeight="1" x14ac:dyDescent="0.3">
      <c r="A343" s="6" t="s">
        <v>367</v>
      </c>
      <c r="B343" s="6" t="s">
        <v>30</v>
      </c>
      <c r="C343" s="7">
        <v>45610</v>
      </c>
      <c r="D343" s="6" t="s">
        <v>17</v>
      </c>
      <c r="E343" s="8">
        <v>13164</v>
      </c>
      <c r="F343" s="8">
        <v>10464</v>
      </c>
      <c r="G343" s="8">
        <v>408</v>
      </c>
      <c r="H343" s="8">
        <v>208</v>
      </c>
      <c r="I343" s="8">
        <v>78</v>
      </c>
      <c r="J343" s="19">
        <f t="shared" si="9"/>
        <v>5.2719538134305681E-2</v>
      </c>
      <c r="K343" s="9">
        <v>6.63</v>
      </c>
      <c r="L343" s="10">
        <f t="shared" si="7"/>
        <v>5.2719538134305681E-2</v>
      </c>
    </row>
    <row r="344" spans="1:12" ht="14.25" customHeight="1" x14ac:dyDescent="0.3">
      <c r="A344" s="6" t="s">
        <v>368</v>
      </c>
      <c r="B344" s="6" t="s">
        <v>22</v>
      </c>
      <c r="C344" s="7">
        <v>45784</v>
      </c>
      <c r="D344" s="6" t="s">
        <v>23</v>
      </c>
      <c r="E344" s="8">
        <v>56416</v>
      </c>
      <c r="F344" s="8">
        <v>35535</v>
      </c>
      <c r="G344" s="8">
        <v>3399</v>
      </c>
      <c r="H344" s="8">
        <v>1056</v>
      </c>
      <c r="I344" s="8">
        <v>1427</v>
      </c>
      <c r="J344" s="19">
        <f t="shared" si="9"/>
        <v>0.10426120249574589</v>
      </c>
      <c r="K344" s="9">
        <v>16.55</v>
      </c>
      <c r="L344" s="10">
        <f t="shared" si="7"/>
        <v>0.10426120249574589</v>
      </c>
    </row>
    <row r="345" spans="1:12" ht="14.25" customHeight="1" x14ac:dyDescent="0.3">
      <c r="A345" s="6" t="s">
        <v>369</v>
      </c>
      <c r="B345" s="6" t="s">
        <v>13</v>
      </c>
      <c r="C345" s="7">
        <v>45390</v>
      </c>
      <c r="D345" s="6" t="s">
        <v>17</v>
      </c>
      <c r="E345" s="8">
        <v>28841</v>
      </c>
      <c r="F345" s="8">
        <v>15199</v>
      </c>
      <c r="G345" s="8">
        <v>437</v>
      </c>
      <c r="H345" s="8">
        <v>62</v>
      </c>
      <c r="I345" s="8">
        <v>345</v>
      </c>
      <c r="J345" s="19">
        <f t="shared" si="9"/>
        <v>2.926389514926667E-2</v>
      </c>
      <c r="K345" s="9">
        <v>5.55</v>
      </c>
      <c r="L345" s="10">
        <f t="shared" si="7"/>
        <v>2.926389514926667E-2</v>
      </c>
    </row>
    <row r="346" spans="1:12" ht="14.25" customHeight="1" x14ac:dyDescent="0.3">
      <c r="A346" s="6" t="s">
        <v>370</v>
      </c>
      <c r="B346" s="6" t="s">
        <v>22</v>
      </c>
      <c r="C346" s="7">
        <v>45703</v>
      </c>
      <c r="D346" s="6" t="s">
        <v>23</v>
      </c>
      <c r="E346" s="8">
        <v>214985</v>
      </c>
      <c r="F346" s="8">
        <v>119268</v>
      </c>
      <c r="G346" s="8">
        <v>6728</v>
      </c>
      <c r="H346" s="8">
        <v>1472</v>
      </c>
      <c r="I346" s="8">
        <v>5666</v>
      </c>
      <c r="J346" s="19">
        <f t="shared" si="9"/>
        <v>6.4497523083005798E-2</v>
      </c>
      <c r="K346" s="9">
        <v>11.63</v>
      </c>
      <c r="L346" s="10">
        <f t="shared" si="7"/>
        <v>6.4497523083005798E-2</v>
      </c>
    </row>
    <row r="347" spans="1:12" ht="14.25" customHeight="1" x14ac:dyDescent="0.3">
      <c r="A347" s="6" t="s">
        <v>371</v>
      </c>
      <c r="B347" s="6" t="s">
        <v>13</v>
      </c>
      <c r="C347" s="7">
        <v>45410</v>
      </c>
      <c r="D347" s="6" t="s">
        <v>25</v>
      </c>
      <c r="E347" s="8">
        <v>31504</v>
      </c>
      <c r="F347" s="8">
        <v>10696</v>
      </c>
      <c r="G347" s="8">
        <v>231</v>
      </c>
      <c r="H347" s="8">
        <v>128</v>
      </c>
      <c r="I347" s="8">
        <v>219</v>
      </c>
      <c r="J347" s="19">
        <f t="shared" si="9"/>
        <v>1.8346876587100051E-2</v>
      </c>
      <c r="K347" s="9">
        <v>5.4</v>
      </c>
      <c r="L347" s="10">
        <f t="shared" si="7"/>
        <v>1.8346876587100051E-2</v>
      </c>
    </row>
    <row r="348" spans="1:12" ht="14.25" customHeight="1" x14ac:dyDescent="0.3">
      <c r="A348" s="6" t="s">
        <v>372</v>
      </c>
      <c r="B348" s="6" t="s">
        <v>22</v>
      </c>
      <c r="C348" s="7">
        <v>45469</v>
      </c>
      <c r="D348" s="6" t="s">
        <v>23</v>
      </c>
      <c r="E348" s="8">
        <v>102103</v>
      </c>
      <c r="F348" s="8">
        <v>54662</v>
      </c>
      <c r="G348" s="8">
        <v>2050</v>
      </c>
      <c r="H348" s="8">
        <v>308</v>
      </c>
      <c r="I348" s="8">
        <v>1227</v>
      </c>
      <c r="J348" s="19">
        <f t="shared" si="9"/>
        <v>3.5111602989138416E-2</v>
      </c>
      <c r="K348" s="9">
        <v>6.56</v>
      </c>
      <c r="L348" s="10">
        <f t="shared" si="7"/>
        <v>3.5111602989138416E-2</v>
      </c>
    </row>
    <row r="349" spans="1:12" ht="14.25" customHeight="1" x14ac:dyDescent="0.3">
      <c r="A349" s="6" t="s">
        <v>373</v>
      </c>
      <c r="B349" s="6" t="s">
        <v>19</v>
      </c>
      <c r="C349" s="7">
        <v>45942</v>
      </c>
      <c r="D349" s="6" t="s">
        <v>14</v>
      </c>
      <c r="E349" s="8">
        <v>19717</v>
      </c>
      <c r="F349" s="8">
        <v>14350</v>
      </c>
      <c r="G349" s="8">
        <v>404</v>
      </c>
      <c r="H349" s="8">
        <v>78</v>
      </c>
      <c r="I349" s="8">
        <v>69</v>
      </c>
      <c r="J349" s="19">
        <f t="shared" si="9"/>
        <v>2.7945427803418368E-2</v>
      </c>
      <c r="K349" s="9">
        <v>3.84</v>
      </c>
      <c r="L349" s="10">
        <f t="shared" si="7"/>
        <v>2.7945427803418368E-2</v>
      </c>
    </row>
    <row r="350" spans="1:12" ht="14.25" customHeight="1" x14ac:dyDescent="0.3">
      <c r="A350" s="6" t="s">
        <v>374</v>
      </c>
      <c r="B350" s="6" t="s">
        <v>16</v>
      </c>
      <c r="C350" s="7">
        <v>45545</v>
      </c>
      <c r="D350" s="6" t="s">
        <v>25</v>
      </c>
      <c r="E350" s="8">
        <v>7459</v>
      </c>
      <c r="F350" s="8">
        <v>4885</v>
      </c>
      <c r="G350" s="8">
        <v>118</v>
      </c>
      <c r="H350" s="8">
        <v>27</v>
      </c>
      <c r="I350" s="8">
        <v>33</v>
      </c>
      <c r="J350" s="19">
        <f t="shared" si="9"/>
        <v>2.3863788711623542E-2</v>
      </c>
      <c r="K350" s="9">
        <v>3.64</v>
      </c>
      <c r="L350" s="10">
        <f t="shared" si="7"/>
        <v>2.3863788711623542E-2</v>
      </c>
    </row>
    <row r="351" spans="1:12" ht="14.25" customHeight="1" x14ac:dyDescent="0.3">
      <c r="A351" s="6" t="s">
        <v>375</v>
      </c>
      <c r="B351" s="6" t="s">
        <v>19</v>
      </c>
      <c r="C351" s="7">
        <v>45722</v>
      </c>
      <c r="D351" s="6" t="s">
        <v>17</v>
      </c>
      <c r="E351" s="8">
        <v>22811</v>
      </c>
      <c r="F351" s="8">
        <v>18298</v>
      </c>
      <c r="G351" s="8">
        <v>108</v>
      </c>
      <c r="H351" s="8">
        <v>101</v>
      </c>
      <c r="I351" s="8">
        <v>201</v>
      </c>
      <c r="J351" s="19">
        <f t="shared" si="9"/>
        <v>1.7973784577616062E-2</v>
      </c>
      <c r="K351" s="9">
        <v>2.2400000000000002</v>
      </c>
      <c r="L351" s="10">
        <f t="shared" si="7"/>
        <v>1.7973784577616062E-2</v>
      </c>
    </row>
    <row r="352" spans="1:12" ht="14.25" customHeight="1" x14ac:dyDescent="0.3">
      <c r="A352" s="6" t="s">
        <v>376</v>
      </c>
      <c r="B352" s="6" t="s">
        <v>16</v>
      </c>
      <c r="C352" s="7">
        <v>45661</v>
      </c>
      <c r="D352" s="6" t="s">
        <v>25</v>
      </c>
      <c r="E352" s="8">
        <v>73989</v>
      </c>
      <c r="F352" s="8">
        <v>54712</v>
      </c>
      <c r="G352" s="8">
        <v>1906</v>
      </c>
      <c r="H352" s="8">
        <v>183</v>
      </c>
      <c r="I352" s="8">
        <v>526</v>
      </c>
      <c r="J352" s="19">
        <f t="shared" si="9"/>
        <v>3.5343091540634419E-2</v>
      </c>
      <c r="K352" s="9">
        <v>4.78</v>
      </c>
      <c r="L352" s="10">
        <f t="shared" si="7"/>
        <v>3.5343091540634419E-2</v>
      </c>
    </row>
    <row r="353" spans="1:12" ht="14.25" customHeight="1" x14ac:dyDescent="0.3">
      <c r="A353" s="6" t="s">
        <v>377</v>
      </c>
      <c r="B353" s="6" t="s">
        <v>30</v>
      </c>
      <c r="C353" s="7">
        <v>45711</v>
      </c>
      <c r="D353" s="6" t="s">
        <v>20</v>
      </c>
      <c r="E353" s="8">
        <v>2343</v>
      </c>
      <c r="F353" s="8">
        <v>1773</v>
      </c>
      <c r="G353" s="8">
        <v>62</v>
      </c>
      <c r="H353" s="8">
        <v>23</v>
      </c>
      <c r="I353" s="8">
        <v>8</v>
      </c>
      <c r="J353" s="19">
        <f t="shared" si="9"/>
        <v>3.9692701664532648E-2</v>
      </c>
      <c r="K353" s="9">
        <v>5.25</v>
      </c>
      <c r="L353" s="10">
        <f t="shared" si="7"/>
        <v>3.9692701664532648E-2</v>
      </c>
    </row>
    <row r="354" spans="1:12" ht="14.25" customHeight="1" x14ac:dyDescent="0.3">
      <c r="A354" s="6" t="s">
        <v>378</v>
      </c>
      <c r="B354" s="6" t="s">
        <v>16</v>
      </c>
      <c r="C354" s="7">
        <v>45814</v>
      </c>
      <c r="D354" s="6" t="s">
        <v>25</v>
      </c>
      <c r="E354" s="8">
        <v>66048</v>
      </c>
      <c r="F354" s="8">
        <v>36305</v>
      </c>
      <c r="G354" s="8">
        <v>1924</v>
      </c>
      <c r="H354" s="8">
        <v>108</v>
      </c>
      <c r="I354" s="8">
        <v>339</v>
      </c>
      <c r="J354" s="19">
        <f t="shared" si="9"/>
        <v>3.5898134689922478E-2</v>
      </c>
      <c r="K354" s="9">
        <v>6.53</v>
      </c>
      <c r="L354" s="10">
        <f t="shared" si="7"/>
        <v>3.5898134689922478E-2</v>
      </c>
    </row>
    <row r="355" spans="1:12" ht="14.25" customHeight="1" x14ac:dyDescent="0.3">
      <c r="A355" s="6" t="s">
        <v>379</v>
      </c>
      <c r="B355" s="6" t="s">
        <v>16</v>
      </c>
      <c r="C355" s="7">
        <v>45419</v>
      </c>
      <c r="D355" s="6" t="s">
        <v>25</v>
      </c>
      <c r="E355" s="8">
        <v>27305</v>
      </c>
      <c r="F355" s="8">
        <v>17772</v>
      </c>
      <c r="G355" s="8">
        <v>659</v>
      </c>
      <c r="H355" s="8">
        <v>261</v>
      </c>
      <c r="I355" s="8">
        <v>143</v>
      </c>
      <c r="J355" s="19">
        <f t="shared" si="9"/>
        <v>3.893059879143014E-2</v>
      </c>
      <c r="K355" s="9">
        <v>5.98</v>
      </c>
      <c r="L355" s="10">
        <f t="shared" si="7"/>
        <v>3.893059879143014E-2</v>
      </c>
    </row>
    <row r="356" spans="1:12" ht="14.25" customHeight="1" x14ac:dyDescent="0.3">
      <c r="A356" s="6" t="s">
        <v>380</v>
      </c>
      <c r="B356" s="6" t="s">
        <v>22</v>
      </c>
      <c r="C356" s="7">
        <v>45578</v>
      </c>
      <c r="D356" s="6" t="s">
        <v>20</v>
      </c>
      <c r="E356" s="8">
        <v>361953</v>
      </c>
      <c r="F356" s="8">
        <v>125768</v>
      </c>
      <c r="G356" s="8">
        <v>4600</v>
      </c>
      <c r="H356" s="8">
        <v>3755</v>
      </c>
      <c r="I356" s="8">
        <v>4516</v>
      </c>
      <c r="J356" s="19">
        <f t="shared" si="9"/>
        <v>3.5559865507400132E-2</v>
      </c>
      <c r="K356" s="9">
        <v>10.23</v>
      </c>
      <c r="L356" s="10">
        <f t="shared" si="7"/>
        <v>3.5559865507400132E-2</v>
      </c>
    </row>
    <row r="357" spans="1:12" ht="14.25" customHeight="1" x14ac:dyDescent="0.3">
      <c r="A357" s="6" t="s">
        <v>381</v>
      </c>
      <c r="B357" s="6" t="s">
        <v>22</v>
      </c>
      <c r="C357" s="7">
        <v>45920</v>
      </c>
      <c r="D357" s="6" t="s">
        <v>20</v>
      </c>
      <c r="E357" s="8">
        <v>263357</v>
      </c>
      <c r="F357" s="8">
        <v>95152</v>
      </c>
      <c r="G357" s="8">
        <v>2884</v>
      </c>
      <c r="H357" s="8">
        <v>2099</v>
      </c>
      <c r="I357" s="8">
        <v>2917</v>
      </c>
      <c r="J357" s="19">
        <f t="shared" si="9"/>
        <v>2.9997304039763514E-2</v>
      </c>
      <c r="K357" s="9">
        <v>8.3000000000000007</v>
      </c>
      <c r="L357" s="10">
        <f t="shared" si="7"/>
        <v>2.9997304039763514E-2</v>
      </c>
    </row>
    <row r="358" spans="1:12" ht="14.25" customHeight="1" x14ac:dyDescent="0.3">
      <c r="A358" s="6" t="s">
        <v>382</v>
      </c>
      <c r="B358" s="6" t="s">
        <v>16</v>
      </c>
      <c r="C358" s="7">
        <v>45406</v>
      </c>
      <c r="D358" s="6" t="s">
        <v>17</v>
      </c>
      <c r="E358" s="8">
        <v>23966</v>
      </c>
      <c r="F358" s="8">
        <v>17467</v>
      </c>
      <c r="G358" s="8">
        <v>901</v>
      </c>
      <c r="H358" s="8">
        <v>248</v>
      </c>
      <c r="I358" s="8">
        <v>73</v>
      </c>
      <c r="J358" s="19">
        <f t="shared" si="9"/>
        <v>5.0988900943002589E-2</v>
      </c>
      <c r="K358" s="9">
        <v>7</v>
      </c>
      <c r="L358" s="10">
        <f t="shared" si="7"/>
        <v>5.0988900943002589E-2</v>
      </c>
    </row>
    <row r="359" spans="1:12" ht="14.25" customHeight="1" x14ac:dyDescent="0.3">
      <c r="A359" s="6" t="s">
        <v>383</v>
      </c>
      <c r="B359" s="6" t="s">
        <v>16</v>
      </c>
      <c r="C359" s="7">
        <v>45364</v>
      </c>
      <c r="D359" s="6" t="s">
        <v>25</v>
      </c>
      <c r="E359" s="8">
        <v>52418</v>
      </c>
      <c r="F359" s="8">
        <v>25581</v>
      </c>
      <c r="G359" s="8">
        <v>572</v>
      </c>
      <c r="H359" s="8">
        <v>122</v>
      </c>
      <c r="I359" s="8">
        <v>122</v>
      </c>
      <c r="J359" s="19">
        <f t="shared" si="9"/>
        <v>1.5567171582280897E-2</v>
      </c>
      <c r="K359" s="9">
        <v>3.19</v>
      </c>
      <c r="L359" s="10">
        <f t="shared" si="7"/>
        <v>1.5567171582280897E-2</v>
      </c>
    </row>
    <row r="360" spans="1:12" ht="14.25" customHeight="1" x14ac:dyDescent="0.3">
      <c r="A360" s="6" t="s">
        <v>384</v>
      </c>
      <c r="B360" s="6" t="s">
        <v>13</v>
      </c>
      <c r="C360" s="7">
        <v>45297</v>
      </c>
      <c r="D360" s="6" t="s">
        <v>25</v>
      </c>
      <c r="E360" s="8">
        <v>31576</v>
      </c>
      <c r="F360" s="8">
        <v>10027</v>
      </c>
      <c r="G360" s="8">
        <v>190</v>
      </c>
      <c r="H360" s="8">
        <v>74</v>
      </c>
      <c r="I360" s="8">
        <v>116</v>
      </c>
      <c r="J360" s="19">
        <f t="shared" si="9"/>
        <v>1.2034456549277933E-2</v>
      </c>
      <c r="K360" s="9">
        <v>3.79</v>
      </c>
      <c r="L360" s="10">
        <f t="shared" si="7"/>
        <v>1.2034456549277933E-2</v>
      </c>
    </row>
    <row r="361" spans="1:12" ht="14.25" customHeight="1" x14ac:dyDescent="0.3">
      <c r="A361" s="6" t="s">
        <v>385</v>
      </c>
      <c r="B361" s="6" t="s">
        <v>16</v>
      </c>
      <c r="C361" s="7">
        <v>45932</v>
      </c>
      <c r="D361" s="6" t="s">
        <v>23</v>
      </c>
      <c r="E361" s="8">
        <v>87496</v>
      </c>
      <c r="F361" s="8">
        <v>66728</v>
      </c>
      <c r="G361" s="8">
        <v>2518</v>
      </c>
      <c r="H361" s="8">
        <v>635</v>
      </c>
      <c r="I361" s="8">
        <v>565</v>
      </c>
      <c r="J361" s="19">
        <f t="shared" si="9"/>
        <v>4.2493371125537166E-2</v>
      </c>
      <c r="K361" s="9">
        <v>5.57</v>
      </c>
      <c r="L361" s="10">
        <f t="shared" si="7"/>
        <v>4.2493371125537166E-2</v>
      </c>
    </row>
    <row r="362" spans="1:12" ht="14.25" customHeight="1" x14ac:dyDescent="0.3">
      <c r="A362" s="6" t="s">
        <v>386</v>
      </c>
      <c r="B362" s="6" t="s">
        <v>16</v>
      </c>
      <c r="C362" s="7">
        <v>45947</v>
      </c>
      <c r="D362" s="6" t="s">
        <v>23</v>
      </c>
      <c r="E362" s="8">
        <v>43720</v>
      </c>
      <c r="F362" s="8">
        <v>34730</v>
      </c>
      <c r="G362" s="8">
        <v>779</v>
      </c>
      <c r="H362" s="8">
        <v>414</v>
      </c>
      <c r="I362" s="8">
        <v>346</v>
      </c>
      <c r="J362" s="19">
        <f t="shared" si="9"/>
        <v>3.520128087831656E-2</v>
      </c>
      <c r="K362" s="9">
        <v>4.43</v>
      </c>
      <c r="L362" s="10">
        <f t="shared" si="7"/>
        <v>3.520128087831656E-2</v>
      </c>
    </row>
    <row r="363" spans="1:12" ht="14.25" customHeight="1" x14ac:dyDescent="0.3">
      <c r="A363" s="6" t="s">
        <v>387</v>
      </c>
      <c r="B363" s="6" t="s">
        <v>30</v>
      </c>
      <c r="C363" s="7">
        <v>45649</v>
      </c>
      <c r="D363" s="6" t="s">
        <v>17</v>
      </c>
      <c r="E363" s="8">
        <v>12715</v>
      </c>
      <c r="F363" s="8">
        <v>7180</v>
      </c>
      <c r="G363" s="8">
        <v>301</v>
      </c>
      <c r="H363" s="8">
        <v>39</v>
      </c>
      <c r="I363" s="8">
        <v>79</v>
      </c>
      <c r="J363" s="19">
        <f t="shared" si="9"/>
        <v>3.2953204876130557E-2</v>
      </c>
      <c r="K363" s="9">
        <v>5.84</v>
      </c>
      <c r="L363" s="10">
        <f t="shared" si="7"/>
        <v>3.2953204876130557E-2</v>
      </c>
    </row>
    <row r="364" spans="1:12" ht="14.25" customHeight="1" x14ac:dyDescent="0.3">
      <c r="A364" s="6" t="s">
        <v>388</v>
      </c>
      <c r="B364" s="6" t="s">
        <v>22</v>
      </c>
      <c r="C364" s="7">
        <v>45513</v>
      </c>
      <c r="D364" s="6" t="s">
        <v>23</v>
      </c>
      <c r="E364" s="8">
        <v>432919</v>
      </c>
      <c r="F364" s="8">
        <v>263375</v>
      </c>
      <c r="G364" s="8">
        <v>29207</v>
      </c>
      <c r="H364" s="8">
        <v>5184</v>
      </c>
      <c r="I364" s="8">
        <v>12263</v>
      </c>
      <c r="J364" s="19">
        <f t="shared" si="9"/>
        <v>0.10776611791120279</v>
      </c>
      <c r="K364" s="9">
        <v>17.71</v>
      </c>
      <c r="L364" s="10">
        <f t="shared" si="7"/>
        <v>0.10776611791120279</v>
      </c>
    </row>
    <row r="365" spans="1:12" ht="14.25" customHeight="1" x14ac:dyDescent="0.3">
      <c r="A365" s="6" t="s">
        <v>389</v>
      </c>
      <c r="B365" s="6" t="s">
        <v>13</v>
      </c>
      <c r="C365" s="7">
        <v>45986</v>
      </c>
      <c r="D365" s="6" t="s">
        <v>17</v>
      </c>
      <c r="E365" s="8">
        <v>18210</v>
      </c>
      <c r="F365" s="8">
        <v>9939</v>
      </c>
      <c r="G365" s="8">
        <v>359</v>
      </c>
      <c r="H365" s="8">
        <v>152</v>
      </c>
      <c r="I365" s="8">
        <v>64</v>
      </c>
      <c r="J365" s="19">
        <f t="shared" si="9"/>
        <v>3.1576057111477207E-2</v>
      </c>
      <c r="K365" s="9">
        <v>5.79</v>
      </c>
      <c r="L365" s="10">
        <f t="shared" si="7"/>
        <v>3.1576057111477207E-2</v>
      </c>
    </row>
    <row r="366" spans="1:12" ht="14.25" customHeight="1" x14ac:dyDescent="0.3">
      <c r="A366" s="6" t="s">
        <v>390</v>
      </c>
      <c r="B366" s="6" t="s">
        <v>13</v>
      </c>
      <c r="C366" s="7">
        <v>45850</v>
      </c>
      <c r="D366" s="6" t="s">
        <v>17</v>
      </c>
      <c r="E366" s="8">
        <v>2650</v>
      </c>
      <c r="F366" s="8">
        <v>1102</v>
      </c>
      <c r="G366" s="8">
        <v>40</v>
      </c>
      <c r="H366" s="8">
        <v>11</v>
      </c>
      <c r="I366" s="8">
        <v>24</v>
      </c>
      <c r="J366" s="19">
        <f t="shared" si="9"/>
        <v>2.8301886792452831E-2</v>
      </c>
      <c r="K366" s="9">
        <v>6.81</v>
      </c>
      <c r="L366" s="10">
        <f t="shared" si="7"/>
        <v>2.8301886792452831E-2</v>
      </c>
    </row>
    <row r="367" spans="1:12" ht="14.25" customHeight="1" x14ac:dyDescent="0.3">
      <c r="A367" s="6" t="s">
        <v>391</v>
      </c>
      <c r="B367" s="6" t="s">
        <v>22</v>
      </c>
      <c r="C367" s="7">
        <v>45754</v>
      </c>
      <c r="D367" s="6" t="s">
        <v>23</v>
      </c>
      <c r="E367" s="8">
        <v>89043</v>
      </c>
      <c r="F367" s="8">
        <v>57240</v>
      </c>
      <c r="G367" s="8">
        <v>2889</v>
      </c>
      <c r="H367" s="8">
        <v>744</v>
      </c>
      <c r="I367" s="8">
        <v>966</v>
      </c>
      <c r="J367" s="19">
        <f t="shared" si="9"/>
        <v>5.1649203193962469E-2</v>
      </c>
      <c r="K367" s="9">
        <v>8.0299999999999994</v>
      </c>
      <c r="L367" s="10">
        <f t="shared" si="7"/>
        <v>5.1649203193962469E-2</v>
      </c>
    </row>
    <row r="368" spans="1:12" ht="14.25" customHeight="1" x14ac:dyDescent="0.3">
      <c r="A368" s="6" t="s">
        <v>392</v>
      </c>
      <c r="B368" s="6" t="s">
        <v>13</v>
      </c>
      <c r="C368" s="7">
        <v>45792</v>
      </c>
      <c r="D368" s="6" t="s">
        <v>20</v>
      </c>
      <c r="E368" s="8">
        <v>32036</v>
      </c>
      <c r="F368" s="8">
        <v>18733</v>
      </c>
      <c r="G368" s="8">
        <v>743</v>
      </c>
      <c r="H368" s="8">
        <v>277</v>
      </c>
      <c r="I368" s="8">
        <v>110</v>
      </c>
      <c r="J368" s="19">
        <f t="shared" si="9"/>
        <v>3.527281807966038E-2</v>
      </c>
      <c r="K368" s="9">
        <v>6.03</v>
      </c>
      <c r="L368" s="10">
        <f t="shared" si="7"/>
        <v>3.527281807966038E-2</v>
      </c>
    </row>
    <row r="369" spans="1:12" ht="14.25" customHeight="1" x14ac:dyDescent="0.3">
      <c r="A369" s="6" t="s">
        <v>393</v>
      </c>
      <c r="B369" s="6" t="s">
        <v>22</v>
      </c>
      <c r="C369" s="7">
        <v>45770</v>
      </c>
      <c r="D369" s="6" t="s">
        <v>23</v>
      </c>
      <c r="E369" s="8">
        <v>162673</v>
      </c>
      <c r="F369" s="8">
        <v>75395</v>
      </c>
      <c r="G369" s="8">
        <v>7190</v>
      </c>
      <c r="H369" s="8">
        <v>1831</v>
      </c>
      <c r="I369" s="8">
        <v>2015</v>
      </c>
      <c r="J369" s="19">
        <f t="shared" si="9"/>
        <v>6.7841620920496948E-2</v>
      </c>
      <c r="K369" s="9">
        <v>14.64</v>
      </c>
      <c r="L369" s="10">
        <f t="shared" si="7"/>
        <v>6.7841620920496948E-2</v>
      </c>
    </row>
    <row r="370" spans="1:12" ht="14.25" customHeight="1" x14ac:dyDescent="0.3">
      <c r="A370" s="6" t="s">
        <v>394</v>
      </c>
      <c r="B370" s="6" t="s">
        <v>16</v>
      </c>
      <c r="C370" s="7">
        <v>45928</v>
      </c>
      <c r="D370" s="6" t="s">
        <v>20</v>
      </c>
      <c r="E370" s="8">
        <v>31659</v>
      </c>
      <c r="F370" s="8">
        <v>15454</v>
      </c>
      <c r="G370" s="8">
        <v>520</v>
      </c>
      <c r="H370" s="8">
        <v>103</v>
      </c>
      <c r="I370" s="8">
        <v>117</v>
      </c>
      <c r="J370" s="19">
        <f t="shared" si="9"/>
        <v>2.3374080040430841E-2</v>
      </c>
      <c r="K370" s="9">
        <v>4.79</v>
      </c>
      <c r="L370" s="10">
        <f t="shared" si="7"/>
        <v>2.3374080040430841E-2</v>
      </c>
    </row>
    <row r="371" spans="1:12" ht="14.25" customHeight="1" x14ac:dyDescent="0.3">
      <c r="A371" s="6" t="s">
        <v>395</v>
      </c>
      <c r="B371" s="6" t="s">
        <v>22</v>
      </c>
      <c r="C371" s="7">
        <v>45817</v>
      </c>
      <c r="D371" s="6" t="s">
        <v>20</v>
      </c>
      <c r="E371" s="8">
        <v>280772</v>
      </c>
      <c r="F371" s="8">
        <v>95901</v>
      </c>
      <c r="G371" s="8">
        <v>8535</v>
      </c>
      <c r="H371" s="8">
        <v>2589</v>
      </c>
      <c r="I371" s="8">
        <v>1470</v>
      </c>
      <c r="J371" s="19">
        <f t="shared" si="9"/>
        <v>4.4854900061259667E-2</v>
      </c>
      <c r="K371" s="9">
        <v>13.13</v>
      </c>
      <c r="L371" s="10">
        <f t="shared" si="7"/>
        <v>4.4854900061259667E-2</v>
      </c>
    </row>
    <row r="372" spans="1:12" ht="14.25" customHeight="1" x14ac:dyDescent="0.3">
      <c r="A372" s="6" t="s">
        <v>396</v>
      </c>
      <c r="B372" s="6" t="s">
        <v>22</v>
      </c>
      <c r="C372" s="7">
        <v>45861</v>
      </c>
      <c r="D372" s="6" t="s">
        <v>20</v>
      </c>
      <c r="E372" s="8">
        <v>28931</v>
      </c>
      <c r="F372" s="8">
        <v>14251</v>
      </c>
      <c r="G372" s="8">
        <v>1634</v>
      </c>
      <c r="H372" s="8">
        <v>204</v>
      </c>
      <c r="I372" s="8">
        <v>597</v>
      </c>
      <c r="J372" s="19">
        <f t="shared" si="9"/>
        <v>8.4165773737513397E-2</v>
      </c>
      <c r="K372" s="9">
        <v>17.09</v>
      </c>
      <c r="L372" s="10">
        <f t="shared" si="7"/>
        <v>8.4165773737513397E-2</v>
      </c>
    </row>
    <row r="373" spans="1:12" ht="14.25" customHeight="1" x14ac:dyDescent="0.3">
      <c r="A373" s="6" t="s">
        <v>397</v>
      </c>
      <c r="B373" s="6" t="s">
        <v>22</v>
      </c>
      <c r="C373" s="7">
        <v>45479</v>
      </c>
      <c r="D373" s="6" t="s">
        <v>20</v>
      </c>
      <c r="E373" s="8">
        <v>48646</v>
      </c>
      <c r="F373" s="8">
        <v>15711</v>
      </c>
      <c r="G373" s="8">
        <v>1465</v>
      </c>
      <c r="H373" s="8">
        <v>141</v>
      </c>
      <c r="I373" s="8">
        <v>499</v>
      </c>
      <c r="J373" s="19">
        <f t="shared" si="9"/>
        <v>4.3271800353574807E-2</v>
      </c>
      <c r="K373" s="9">
        <v>13.4</v>
      </c>
      <c r="L373" s="10">
        <f t="shared" si="7"/>
        <v>4.3271800353574807E-2</v>
      </c>
    </row>
    <row r="374" spans="1:12" ht="14.25" customHeight="1" x14ac:dyDescent="0.3">
      <c r="A374" s="6" t="s">
        <v>398</v>
      </c>
      <c r="B374" s="6" t="s">
        <v>22</v>
      </c>
      <c r="C374" s="7">
        <v>45931</v>
      </c>
      <c r="D374" s="6" t="s">
        <v>23</v>
      </c>
      <c r="E374" s="8">
        <v>185450</v>
      </c>
      <c r="F374" s="8">
        <v>104771</v>
      </c>
      <c r="G374" s="8">
        <v>11675</v>
      </c>
      <c r="H374" s="8">
        <v>1750</v>
      </c>
      <c r="I374" s="8">
        <v>5190</v>
      </c>
      <c r="J374" s="19">
        <f t="shared" si="9"/>
        <v>0.10037746023186843</v>
      </c>
      <c r="K374" s="9">
        <v>17.77</v>
      </c>
      <c r="L374" s="10">
        <f t="shared" si="7"/>
        <v>0.10037746023186843</v>
      </c>
    </row>
    <row r="375" spans="1:12" ht="14.25" customHeight="1" x14ac:dyDescent="0.3">
      <c r="A375" s="6" t="s">
        <v>399</v>
      </c>
      <c r="B375" s="6" t="s">
        <v>16</v>
      </c>
      <c r="C375" s="7">
        <v>45962</v>
      </c>
      <c r="D375" s="6" t="s">
        <v>17</v>
      </c>
      <c r="E375" s="8">
        <v>4906</v>
      </c>
      <c r="F375" s="8">
        <v>2588</v>
      </c>
      <c r="G375" s="8">
        <v>151</v>
      </c>
      <c r="H375" s="8">
        <v>33</v>
      </c>
      <c r="I375" s="8">
        <v>17</v>
      </c>
      <c r="J375" s="19">
        <f t="shared" si="9"/>
        <v>4.0970240521810031E-2</v>
      </c>
      <c r="K375" s="9">
        <v>7.77</v>
      </c>
      <c r="L375" s="10">
        <f t="shared" si="7"/>
        <v>4.0970240521810031E-2</v>
      </c>
    </row>
    <row r="376" spans="1:12" ht="14.25" customHeight="1" x14ac:dyDescent="0.3">
      <c r="A376" s="6" t="s">
        <v>400</v>
      </c>
      <c r="B376" s="6" t="s">
        <v>13</v>
      </c>
      <c r="C376" s="7">
        <v>45356</v>
      </c>
      <c r="D376" s="6" t="s">
        <v>20</v>
      </c>
      <c r="E376" s="8">
        <v>85302</v>
      </c>
      <c r="F376" s="8">
        <v>32381</v>
      </c>
      <c r="G376" s="8">
        <v>1051</v>
      </c>
      <c r="H376" s="8">
        <v>160</v>
      </c>
      <c r="I376" s="8">
        <v>503</v>
      </c>
      <c r="J376" s="19">
        <f t="shared" si="9"/>
        <v>2.0093315514290402E-2</v>
      </c>
      <c r="K376" s="9">
        <v>5.29</v>
      </c>
      <c r="L376" s="10">
        <f t="shared" si="7"/>
        <v>2.0093315514290402E-2</v>
      </c>
    </row>
    <row r="377" spans="1:12" ht="14.25" customHeight="1" x14ac:dyDescent="0.3">
      <c r="A377" s="6" t="s">
        <v>401</v>
      </c>
      <c r="B377" s="6" t="s">
        <v>13</v>
      </c>
      <c r="C377" s="7">
        <v>45743</v>
      </c>
      <c r="D377" s="6" t="s">
        <v>20</v>
      </c>
      <c r="E377" s="8">
        <v>36362</v>
      </c>
      <c r="F377" s="8">
        <v>22850</v>
      </c>
      <c r="G377" s="8">
        <v>994</v>
      </c>
      <c r="H377" s="8">
        <v>361</v>
      </c>
      <c r="I377" s="8">
        <v>578</v>
      </c>
      <c r="J377" s="19">
        <f t="shared" si="9"/>
        <v>5.3159892195148779E-2</v>
      </c>
      <c r="K377" s="9">
        <v>8.4600000000000009</v>
      </c>
      <c r="L377" s="10">
        <f t="shared" si="7"/>
        <v>5.3159892195148779E-2</v>
      </c>
    </row>
    <row r="378" spans="1:12" ht="14.25" customHeight="1" x14ac:dyDescent="0.3">
      <c r="A378" s="6" t="s">
        <v>402</v>
      </c>
      <c r="B378" s="6" t="s">
        <v>19</v>
      </c>
      <c r="C378" s="7">
        <v>45537</v>
      </c>
      <c r="D378" s="6" t="s">
        <v>17</v>
      </c>
      <c r="E378" s="8">
        <v>19564</v>
      </c>
      <c r="F378" s="8">
        <v>14673</v>
      </c>
      <c r="G378" s="8">
        <v>312</v>
      </c>
      <c r="H378" s="8">
        <v>19</v>
      </c>
      <c r="I378" s="8">
        <v>39</v>
      </c>
      <c r="J378" s="19">
        <f t="shared" si="9"/>
        <v>1.8912287875690045E-2</v>
      </c>
      <c r="K378" s="9">
        <v>2.52</v>
      </c>
      <c r="L378" s="10">
        <f t="shared" si="7"/>
        <v>1.8912287875690045E-2</v>
      </c>
    </row>
    <row r="379" spans="1:12" ht="14.25" customHeight="1" x14ac:dyDescent="0.3">
      <c r="A379" s="6" t="s">
        <v>403</v>
      </c>
      <c r="B379" s="6" t="s">
        <v>22</v>
      </c>
      <c r="C379" s="7">
        <v>45681</v>
      </c>
      <c r="D379" s="6" t="s">
        <v>23</v>
      </c>
      <c r="E379" s="8">
        <v>142015</v>
      </c>
      <c r="F379" s="8">
        <v>97331</v>
      </c>
      <c r="G379" s="8">
        <v>11113</v>
      </c>
      <c r="H379" s="8">
        <v>2751</v>
      </c>
      <c r="I379" s="8">
        <v>3416</v>
      </c>
      <c r="J379" s="19">
        <f t="shared" si="9"/>
        <v>0.12167728761046369</v>
      </c>
      <c r="K379" s="9">
        <v>17.75</v>
      </c>
      <c r="L379" s="10">
        <f t="shared" si="7"/>
        <v>0.12167728761046369</v>
      </c>
    </row>
    <row r="380" spans="1:12" ht="14.25" customHeight="1" x14ac:dyDescent="0.3">
      <c r="A380" s="6" t="s">
        <v>404</v>
      </c>
      <c r="B380" s="6" t="s">
        <v>22</v>
      </c>
      <c r="C380" s="7">
        <v>45320</v>
      </c>
      <c r="D380" s="6" t="s">
        <v>20</v>
      </c>
      <c r="E380" s="8">
        <v>396464</v>
      </c>
      <c r="F380" s="8">
        <v>212977</v>
      </c>
      <c r="G380" s="8">
        <v>20430</v>
      </c>
      <c r="H380" s="8">
        <v>2808</v>
      </c>
      <c r="I380" s="8">
        <v>4420</v>
      </c>
      <c r="J380" s="19">
        <f t="shared" si="9"/>
        <v>6.9761693369385369E-2</v>
      </c>
      <c r="K380" s="9">
        <v>12.99</v>
      </c>
      <c r="L380" s="10">
        <f t="shared" si="7"/>
        <v>6.9761693369385369E-2</v>
      </c>
    </row>
    <row r="381" spans="1:12" ht="14.25" customHeight="1" x14ac:dyDescent="0.3">
      <c r="A381" s="6" t="s">
        <v>405</v>
      </c>
      <c r="B381" s="6" t="s">
        <v>16</v>
      </c>
      <c r="C381" s="7">
        <v>45320</v>
      </c>
      <c r="D381" s="6" t="s">
        <v>20</v>
      </c>
      <c r="E381" s="8">
        <v>65239</v>
      </c>
      <c r="F381" s="8">
        <v>26279</v>
      </c>
      <c r="G381" s="8">
        <v>1270</v>
      </c>
      <c r="H381" s="8">
        <v>138</v>
      </c>
      <c r="I381" s="8">
        <v>249</v>
      </c>
      <c r="J381" s="19">
        <f t="shared" si="9"/>
        <v>2.5398917825227241E-2</v>
      </c>
      <c r="K381" s="9">
        <v>6.31</v>
      </c>
      <c r="L381" s="10">
        <f t="shared" si="7"/>
        <v>2.5398917825227241E-2</v>
      </c>
    </row>
    <row r="382" spans="1:12" ht="14.25" customHeight="1" x14ac:dyDescent="0.3">
      <c r="A382" s="6" t="s">
        <v>406</v>
      </c>
      <c r="B382" s="6" t="s">
        <v>22</v>
      </c>
      <c r="C382" s="7">
        <v>45642</v>
      </c>
      <c r="D382" s="6" t="s">
        <v>20</v>
      </c>
      <c r="E382" s="8">
        <v>481371</v>
      </c>
      <c r="F382" s="8">
        <v>293652</v>
      </c>
      <c r="G382" s="8">
        <v>12277</v>
      </c>
      <c r="H382" s="8">
        <v>2977</v>
      </c>
      <c r="I382" s="8">
        <v>13325</v>
      </c>
      <c r="J382" s="19">
        <f t="shared" si="9"/>
        <v>5.9370007748701104E-2</v>
      </c>
      <c r="K382" s="9">
        <v>9.73</v>
      </c>
      <c r="L382" s="10">
        <f t="shared" si="7"/>
        <v>5.9370007748701104E-2</v>
      </c>
    </row>
    <row r="383" spans="1:12" ht="14.25" customHeight="1" x14ac:dyDescent="0.3">
      <c r="A383" s="6" t="s">
        <v>407</v>
      </c>
      <c r="B383" s="6" t="s">
        <v>30</v>
      </c>
      <c r="C383" s="7">
        <v>45684</v>
      </c>
      <c r="D383" s="6" t="s">
        <v>20</v>
      </c>
      <c r="E383" s="8">
        <v>33792</v>
      </c>
      <c r="F383" s="8">
        <v>18124</v>
      </c>
      <c r="G383" s="8">
        <v>615</v>
      </c>
      <c r="H383" s="8">
        <v>436</v>
      </c>
      <c r="I383" s="8">
        <v>149</v>
      </c>
      <c r="J383" s="19">
        <f t="shared" si="9"/>
        <v>3.551136363636364E-2</v>
      </c>
      <c r="K383" s="9">
        <v>6.62</v>
      </c>
      <c r="L383" s="10">
        <f t="shared" si="7"/>
        <v>3.551136363636364E-2</v>
      </c>
    </row>
    <row r="384" spans="1:12" ht="14.25" customHeight="1" x14ac:dyDescent="0.3">
      <c r="A384" s="6" t="s">
        <v>408</v>
      </c>
      <c r="B384" s="6" t="s">
        <v>22</v>
      </c>
      <c r="C384" s="7">
        <v>45478</v>
      </c>
      <c r="D384" s="6" t="s">
        <v>23</v>
      </c>
      <c r="E384" s="8">
        <v>273471</v>
      </c>
      <c r="F384" s="8">
        <v>103519</v>
      </c>
      <c r="G384" s="8">
        <v>3885</v>
      </c>
      <c r="H384" s="8">
        <v>2204</v>
      </c>
      <c r="I384" s="8">
        <v>4347</v>
      </c>
      <c r="J384" s="19">
        <f t="shared" si="9"/>
        <v>3.8161267556706194E-2</v>
      </c>
      <c r="K384" s="9">
        <v>10.08</v>
      </c>
      <c r="L384" s="10">
        <f t="shared" si="7"/>
        <v>3.8161267556706194E-2</v>
      </c>
    </row>
    <row r="385" spans="1:12" ht="14.25" customHeight="1" x14ac:dyDescent="0.3">
      <c r="A385" s="6" t="s">
        <v>409</v>
      </c>
      <c r="B385" s="6" t="s">
        <v>16</v>
      </c>
      <c r="C385" s="7">
        <v>46011</v>
      </c>
      <c r="D385" s="6" t="s">
        <v>17</v>
      </c>
      <c r="E385" s="8">
        <v>18169</v>
      </c>
      <c r="F385" s="8">
        <v>12346</v>
      </c>
      <c r="G385" s="8">
        <v>599</v>
      </c>
      <c r="H385" s="8">
        <v>154</v>
      </c>
      <c r="I385" s="8">
        <v>120</v>
      </c>
      <c r="J385" s="19">
        <f t="shared" si="9"/>
        <v>4.8048874456491829E-2</v>
      </c>
      <c r="K385" s="9">
        <v>7.07</v>
      </c>
      <c r="L385" s="10">
        <f t="shared" si="7"/>
        <v>4.8048874456491829E-2</v>
      </c>
    </row>
    <row r="386" spans="1:12" ht="14.25" customHeight="1" x14ac:dyDescent="0.3">
      <c r="A386" s="6" t="s">
        <v>410</v>
      </c>
      <c r="B386" s="6" t="s">
        <v>22</v>
      </c>
      <c r="C386" s="7">
        <v>45771</v>
      </c>
      <c r="D386" s="6" t="s">
        <v>23</v>
      </c>
      <c r="E386" s="8">
        <v>219497</v>
      </c>
      <c r="F386" s="8">
        <v>107091</v>
      </c>
      <c r="G386" s="8">
        <v>4415</v>
      </c>
      <c r="H386" s="8">
        <v>1194</v>
      </c>
      <c r="I386" s="8">
        <v>1427</v>
      </c>
      <c r="J386" s="19">
        <f t="shared" si="9"/>
        <v>3.2055107814685395E-2</v>
      </c>
      <c r="K386" s="9">
        <v>6.57</v>
      </c>
      <c r="L386" s="10">
        <f t="shared" si="7"/>
        <v>3.2055107814685395E-2</v>
      </c>
    </row>
    <row r="387" spans="1:12" ht="14.25" customHeight="1" x14ac:dyDescent="0.3">
      <c r="A387" s="6" t="s">
        <v>411</v>
      </c>
      <c r="B387" s="6" t="s">
        <v>30</v>
      </c>
      <c r="C387" s="7">
        <v>45815</v>
      </c>
      <c r="D387" s="6" t="s">
        <v>17</v>
      </c>
      <c r="E387" s="8">
        <v>9396</v>
      </c>
      <c r="F387" s="8">
        <v>6993</v>
      </c>
      <c r="G387" s="8">
        <v>331</v>
      </c>
      <c r="H387" s="8">
        <v>161</v>
      </c>
      <c r="I387" s="8">
        <v>55</v>
      </c>
      <c r="J387" s="19">
        <f t="shared" ref="J387:J450" si="10">(G387+H387+I387)/E387</f>
        <v>5.8216262239250742E-2</v>
      </c>
      <c r="K387" s="9">
        <v>7.82</v>
      </c>
      <c r="L387" s="10">
        <f t="shared" si="7"/>
        <v>5.8216262239250742E-2</v>
      </c>
    </row>
    <row r="388" spans="1:12" ht="14.25" customHeight="1" x14ac:dyDescent="0.3">
      <c r="A388" s="6" t="s">
        <v>412</v>
      </c>
      <c r="B388" s="6" t="s">
        <v>16</v>
      </c>
      <c r="C388" s="7">
        <v>45942</v>
      </c>
      <c r="D388" s="6" t="s">
        <v>17</v>
      </c>
      <c r="E388" s="8">
        <v>49233</v>
      </c>
      <c r="F388" s="8">
        <v>30264</v>
      </c>
      <c r="G388" s="8">
        <v>2221</v>
      </c>
      <c r="H388" s="8">
        <v>448</v>
      </c>
      <c r="I388" s="8">
        <v>279</v>
      </c>
      <c r="J388" s="19">
        <f t="shared" si="10"/>
        <v>5.9878536753803342E-2</v>
      </c>
      <c r="K388" s="9">
        <v>9.74</v>
      </c>
      <c r="L388" s="10">
        <f t="shared" si="7"/>
        <v>5.9878536753803342E-2</v>
      </c>
    </row>
    <row r="389" spans="1:12" ht="14.25" customHeight="1" x14ac:dyDescent="0.3">
      <c r="A389" s="6" t="s">
        <v>413</v>
      </c>
      <c r="B389" s="6" t="s">
        <v>13</v>
      </c>
      <c r="C389" s="7">
        <v>45985</v>
      </c>
      <c r="D389" s="6" t="s">
        <v>14</v>
      </c>
      <c r="E389" s="8">
        <v>12764</v>
      </c>
      <c r="F389" s="8">
        <v>6001</v>
      </c>
      <c r="G389" s="8">
        <v>157</v>
      </c>
      <c r="H389" s="8">
        <v>55</v>
      </c>
      <c r="I389" s="8">
        <v>76</v>
      </c>
      <c r="J389" s="19">
        <f t="shared" si="10"/>
        <v>2.2563459730492008E-2</v>
      </c>
      <c r="K389" s="9">
        <v>4.8</v>
      </c>
      <c r="L389" s="10">
        <f t="shared" si="7"/>
        <v>2.2563459730492008E-2</v>
      </c>
    </row>
    <row r="390" spans="1:12" ht="14.25" customHeight="1" x14ac:dyDescent="0.3">
      <c r="A390" s="6" t="s">
        <v>414</v>
      </c>
      <c r="B390" s="6" t="s">
        <v>16</v>
      </c>
      <c r="C390" s="7">
        <v>45816</v>
      </c>
      <c r="D390" s="6" t="s">
        <v>25</v>
      </c>
      <c r="E390" s="8">
        <v>64438</v>
      </c>
      <c r="F390" s="8">
        <v>48960</v>
      </c>
      <c r="G390" s="8">
        <v>2962</v>
      </c>
      <c r="H390" s="8">
        <v>531</v>
      </c>
      <c r="I390" s="8">
        <v>213</v>
      </c>
      <c r="J390" s="19">
        <f t="shared" si="10"/>
        <v>5.7512647816505787E-2</v>
      </c>
      <c r="K390" s="9">
        <v>7.57</v>
      </c>
      <c r="L390" s="10">
        <f t="shared" si="7"/>
        <v>5.7512647816505787E-2</v>
      </c>
    </row>
    <row r="391" spans="1:12" ht="14.25" customHeight="1" x14ac:dyDescent="0.3">
      <c r="A391" s="6" t="s">
        <v>415</v>
      </c>
      <c r="B391" s="6" t="s">
        <v>19</v>
      </c>
      <c r="C391" s="7">
        <v>45704</v>
      </c>
      <c r="D391" s="6" t="s">
        <v>20</v>
      </c>
      <c r="E391" s="8">
        <v>18371</v>
      </c>
      <c r="F391" s="8">
        <v>16355</v>
      </c>
      <c r="G391" s="8">
        <v>376</v>
      </c>
      <c r="H391" s="8">
        <v>28</v>
      </c>
      <c r="I391" s="8">
        <v>65</v>
      </c>
      <c r="J391" s="19">
        <f t="shared" si="10"/>
        <v>2.5529366937020303E-2</v>
      </c>
      <c r="K391" s="9">
        <v>2.87</v>
      </c>
      <c r="L391" s="10">
        <f t="shared" si="7"/>
        <v>2.5529366937020303E-2</v>
      </c>
    </row>
    <row r="392" spans="1:12" ht="14.25" customHeight="1" x14ac:dyDescent="0.3">
      <c r="A392" s="6" t="s">
        <v>416</v>
      </c>
      <c r="B392" s="6" t="s">
        <v>16</v>
      </c>
      <c r="C392" s="7">
        <v>45990</v>
      </c>
      <c r="D392" s="6" t="s">
        <v>23</v>
      </c>
      <c r="E392" s="8">
        <v>32912</v>
      </c>
      <c r="F392" s="8">
        <v>20778</v>
      </c>
      <c r="G392" s="8">
        <v>1433</v>
      </c>
      <c r="H392" s="8">
        <v>190</v>
      </c>
      <c r="I392" s="8">
        <v>55</v>
      </c>
      <c r="J392" s="19">
        <f t="shared" si="10"/>
        <v>5.0984443364122507E-2</v>
      </c>
      <c r="K392" s="9">
        <v>8.08</v>
      </c>
      <c r="L392" s="10">
        <f t="shared" si="7"/>
        <v>5.0984443364122507E-2</v>
      </c>
    </row>
    <row r="393" spans="1:12" ht="14.25" customHeight="1" x14ac:dyDescent="0.3">
      <c r="A393" s="6" t="s">
        <v>417</v>
      </c>
      <c r="B393" s="6" t="s">
        <v>13</v>
      </c>
      <c r="C393" s="7">
        <v>45530</v>
      </c>
      <c r="D393" s="6" t="s">
        <v>17</v>
      </c>
      <c r="E393" s="8">
        <v>3002</v>
      </c>
      <c r="F393" s="8">
        <v>1192</v>
      </c>
      <c r="G393" s="8">
        <v>20</v>
      </c>
      <c r="H393" s="8">
        <v>22</v>
      </c>
      <c r="I393" s="8">
        <v>31</v>
      </c>
      <c r="J393" s="19">
        <f t="shared" si="10"/>
        <v>2.4317121918720853E-2</v>
      </c>
      <c r="K393" s="9">
        <v>6.12</v>
      </c>
      <c r="L393" s="10">
        <f t="shared" si="7"/>
        <v>2.4317121918720853E-2</v>
      </c>
    </row>
    <row r="394" spans="1:12" ht="14.25" customHeight="1" x14ac:dyDescent="0.3">
      <c r="A394" s="6" t="s">
        <v>418</v>
      </c>
      <c r="B394" s="6" t="s">
        <v>16</v>
      </c>
      <c r="C394" s="7">
        <v>45473</v>
      </c>
      <c r="D394" s="6" t="s">
        <v>25</v>
      </c>
      <c r="E394" s="8">
        <v>32223</v>
      </c>
      <c r="F394" s="8">
        <v>20809</v>
      </c>
      <c r="G394" s="8">
        <v>652</v>
      </c>
      <c r="H394" s="8">
        <v>263</v>
      </c>
      <c r="I394" s="8">
        <v>160</v>
      </c>
      <c r="J394" s="19">
        <f t="shared" si="10"/>
        <v>3.3361263693634978E-2</v>
      </c>
      <c r="K394" s="9">
        <v>5.17</v>
      </c>
      <c r="L394" s="10">
        <f t="shared" si="7"/>
        <v>3.3361263693634978E-2</v>
      </c>
    </row>
    <row r="395" spans="1:12" ht="14.25" customHeight="1" x14ac:dyDescent="0.3">
      <c r="A395" s="6" t="s">
        <v>419</v>
      </c>
      <c r="B395" s="6" t="s">
        <v>16</v>
      </c>
      <c r="C395" s="7">
        <v>45825</v>
      </c>
      <c r="D395" s="6" t="s">
        <v>25</v>
      </c>
      <c r="E395" s="8">
        <v>69821</v>
      </c>
      <c r="F395" s="8">
        <v>36732</v>
      </c>
      <c r="G395" s="8">
        <v>882</v>
      </c>
      <c r="H395" s="8">
        <v>250</v>
      </c>
      <c r="I395" s="8">
        <v>84</v>
      </c>
      <c r="J395" s="19">
        <f t="shared" si="10"/>
        <v>1.7415963678549435E-2</v>
      </c>
      <c r="K395" s="9">
        <v>3.31</v>
      </c>
      <c r="L395" s="10">
        <f t="shared" si="7"/>
        <v>1.7415963678549435E-2</v>
      </c>
    </row>
    <row r="396" spans="1:12" ht="14.25" customHeight="1" x14ac:dyDescent="0.3">
      <c r="A396" s="6" t="s">
        <v>420</v>
      </c>
      <c r="B396" s="6" t="s">
        <v>19</v>
      </c>
      <c r="C396" s="7">
        <v>45441</v>
      </c>
      <c r="D396" s="6" t="s">
        <v>17</v>
      </c>
      <c r="E396" s="8">
        <v>12511</v>
      </c>
      <c r="F396" s="8">
        <v>6678</v>
      </c>
      <c r="G396" s="8">
        <v>169</v>
      </c>
      <c r="H396" s="8">
        <v>42</v>
      </c>
      <c r="I396" s="8">
        <v>126</v>
      </c>
      <c r="J396" s="19">
        <f t="shared" si="10"/>
        <v>2.6936296059467669E-2</v>
      </c>
      <c r="K396" s="9">
        <v>5.05</v>
      </c>
      <c r="L396" s="10">
        <f t="shared" si="7"/>
        <v>2.6936296059467669E-2</v>
      </c>
    </row>
    <row r="397" spans="1:12" ht="14.25" customHeight="1" x14ac:dyDescent="0.3">
      <c r="A397" s="6" t="s">
        <v>421</v>
      </c>
      <c r="B397" s="6" t="s">
        <v>30</v>
      </c>
      <c r="C397" s="7">
        <v>45302</v>
      </c>
      <c r="D397" s="6" t="s">
        <v>17</v>
      </c>
      <c r="E397" s="8">
        <v>8567</v>
      </c>
      <c r="F397" s="8">
        <v>5327</v>
      </c>
      <c r="G397" s="8">
        <v>156</v>
      </c>
      <c r="H397" s="8">
        <v>45</v>
      </c>
      <c r="I397" s="8">
        <v>19</v>
      </c>
      <c r="J397" s="19">
        <f t="shared" si="10"/>
        <v>2.5679934632893663E-2</v>
      </c>
      <c r="K397" s="9">
        <v>4.13</v>
      </c>
      <c r="L397" s="10">
        <f t="shared" si="7"/>
        <v>2.5679934632893663E-2</v>
      </c>
    </row>
    <row r="398" spans="1:12" ht="14.25" customHeight="1" x14ac:dyDescent="0.3">
      <c r="A398" s="6" t="s">
        <v>422</v>
      </c>
      <c r="B398" s="6" t="s">
        <v>13</v>
      </c>
      <c r="C398" s="7">
        <v>45695</v>
      </c>
      <c r="D398" s="6" t="s">
        <v>25</v>
      </c>
      <c r="E398" s="8">
        <v>31744</v>
      </c>
      <c r="F398" s="8">
        <v>14540</v>
      </c>
      <c r="G398" s="8">
        <v>478</v>
      </c>
      <c r="H398" s="8">
        <v>203</v>
      </c>
      <c r="I398" s="8">
        <v>290</v>
      </c>
      <c r="J398" s="19">
        <f t="shared" si="10"/>
        <v>3.0588457661290324E-2</v>
      </c>
      <c r="K398" s="9">
        <v>6.68</v>
      </c>
      <c r="L398" s="10">
        <f t="shared" si="7"/>
        <v>3.0588457661290324E-2</v>
      </c>
    </row>
    <row r="399" spans="1:12" ht="14.25" customHeight="1" x14ac:dyDescent="0.3">
      <c r="A399" s="6" t="s">
        <v>423</v>
      </c>
      <c r="B399" s="6" t="s">
        <v>30</v>
      </c>
      <c r="C399" s="7">
        <v>45702</v>
      </c>
      <c r="D399" s="6" t="s">
        <v>17</v>
      </c>
      <c r="E399" s="8">
        <v>7127</v>
      </c>
      <c r="F399" s="8">
        <v>5162</v>
      </c>
      <c r="G399" s="8">
        <v>164</v>
      </c>
      <c r="H399" s="8">
        <v>127</v>
      </c>
      <c r="I399" s="8">
        <v>66</v>
      </c>
      <c r="J399" s="19">
        <f t="shared" si="10"/>
        <v>5.0091202469482253E-2</v>
      </c>
      <c r="K399" s="9">
        <v>6.92</v>
      </c>
      <c r="L399" s="10">
        <f t="shared" si="7"/>
        <v>5.0091202469482253E-2</v>
      </c>
    </row>
    <row r="400" spans="1:12" ht="14.25" customHeight="1" x14ac:dyDescent="0.3">
      <c r="A400" s="6" t="s">
        <v>424</v>
      </c>
      <c r="B400" s="6" t="s">
        <v>30</v>
      </c>
      <c r="C400" s="7">
        <v>45779</v>
      </c>
      <c r="D400" s="6" t="s">
        <v>20</v>
      </c>
      <c r="E400" s="8">
        <v>21322</v>
      </c>
      <c r="F400" s="8">
        <v>15829</v>
      </c>
      <c r="G400" s="8">
        <v>310</v>
      </c>
      <c r="H400" s="8">
        <v>374</v>
      </c>
      <c r="I400" s="8">
        <v>89</v>
      </c>
      <c r="J400" s="19">
        <f t="shared" si="10"/>
        <v>3.6253634743457462E-2</v>
      </c>
      <c r="K400" s="9">
        <v>4.88</v>
      </c>
      <c r="L400" s="10">
        <f t="shared" si="7"/>
        <v>3.6253634743457462E-2</v>
      </c>
    </row>
    <row r="401" spans="1:12" ht="14.25" customHeight="1" x14ac:dyDescent="0.3">
      <c r="A401" s="6" t="s">
        <v>425</v>
      </c>
      <c r="B401" s="6" t="s">
        <v>19</v>
      </c>
      <c r="C401" s="7">
        <v>45361</v>
      </c>
      <c r="D401" s="6" t="s">
        <v>20</v>
      </c>
      <c r="E401" s="8">
        <v>2785</v>
      </c>
      <c r="F401" s="8">
        <v>2312</v>
      </c>
      <c r="G401" s="8">
        <v>68</v>
      </c>
      <c r="H401" s="8">
        <v>13</v>
      </c>
      <c r="I401" s="8">
        <v>16</v>
      </c>
      <c r="J401" s="19">
        <f t="shared" si="10"/>
        <v>3.48294434470377E-2</v>
      </c>
      <c r="K401" s="9">
        <v>4.2</v>
      </c>
      <c r="L401" s="10">
        <f t="shared" si="7"/>
        <v>3.48294434470377E-2</v>
      </c>
    </row>
    <row r="402" spans="1:12" ht="14.25" customHeight="1" x14ac:dyDescent="0.3">
      <c r="A402" s="6" t="s">
        <v>426</v>
      </c>
      <c r="B402" s="6" t="s">
        <v>19</v>
      </c>
      <c r="C402" s="7">
        <v>45826</v>
      </c>
      <c r="D402" s="6" t="s">
        <v>17</v>
      </c>
      <c r="E402" s="8">
        <v>6106</v>
      </c>
      <c r="F402" s="8">
        <v>3287</v>
      </c>
      <c r="G402" s="8">
        <v>57</v>
      </c>
      <c r="H402" s="8">
        <v>26</v>
      </c>
      <c r="I402" s="8">
        <v>41</v>
      </c>
      <c r="J402" s="19">
        <f t="shared" si="10"/>
        <v>2.0307893874877171E-2</v>
      </c>
      <c r="K402" s="9">
        <v>3.77</v>
      </c>
      <c r="L402" s="10">
        <f t="shared" si="7"/>
        <v>2.0307893874877171E-2</v>
      </c>
    </row>
    <row r="403" spans="1:12" ht="14.25" customHeight="1" x14ac:dyDescent="0.3">
      <c r="A403" s="6" t="s">
        <v>427</v>
      </c>
      <c r="B403" s="6" t="s">
        <v>22</v>
      </c>
      <c r="C403" s="7">
        <v>45525</v>
      </c>
      <c r="D403" s="6" t="s">
        <v>20</v>
      </c>
      <c r="E403" s="8">
        <v>184139</v>
      </c>
      <c r="F403" s="8">
        <v>107085</v>
      </c>
      <c r="G403" s="8">
        <v>9649</v>
      </c>
      <c r="H403" s="8">
        <v>1976</v>
      </c>
      <c r="I403" s="8">
        <v>1806</v>
      </c>
      <c r="J403" s="19">
        <f t="shared" si="10"/>
        <v>7.2939464209102911E-2</v>
      </c>
      <c r="K403" s="9">
        <v>12.54</v>
      </c>
      <c r="L403" s="10">
        <f t="shared" si="7"/>
        <v>7.2939464209102911E-2</v>
      </c>
    </row>
    <row r="404" spans="1:12" ht="14.25" customHeight="1" x14ac:dyDescent="0.3">
      <c r="A404" s="6" t="s">
        <v>428</v>
      </c>
      <c r="B404" s="6" t="s">
        <v>30</v>
      </c>
      <c r="C404" s="7">
        <v>45978</v>
      </c>
      <c r="D404" s="6" t="s">
        <v>25</v>
      </c>
      <c r="E404" s="8">
        <v>26764</v>
      </c>
      <c r="F404" s="8">
        <v>10706</v>
      </c>
      <c r="G404" s="8">
        <v>440</v>
      </c>
      <c r="H404" s="8">
        <v>206</v>
      </c>
      <c r="I404" s="8">
        <v>40</v>
      </c>
      <c r="J404" s="19">
        <f t="shared" si="10"/>
        <v>2.5631445224929009E-2</v>
      </c>
      <c r="K404" s="9">
        <v>6.41</v>
      </c>
      <c r="L404" s="10">
        <f t="shared" si="7"/>
        <v>2.5631445224929009E-2</v>
      </c>
    </row>
    <row r="405" spans="1:12" ht="14.25" customHeight="1" x14ac:dyDescent="0.3">
      <c r="A405" s="6" t="s">
        <v>429</v>
      </c>
      <c r="B405" s="6" t="s">
        <v>19</v>
      </c>
      <c r="C405" s="7">
        <v>45587</v>
      </c>
      <c r="D405" s="6" t="s">
        <v>20</v>
      </c>
      <c r="E405" s="8">
        <v>49797</v>
      </c>
      <c r="F405" s="8">
        <v>31336</v>
      </c>
      <c r="G405" s="8">
        <v>561</v>
      </c>
      <c r="H405" s="8">
        <v>147</v>
      </c>
      <c r="I405" s="8">
        <v>573</v>
      </c>
      <c r="J405" s="19">
        <f t="shared" si="10"/>
        <v>2.5724441231399484E-2</v>
      </c>
      <c r="K405" s="9">
        <v>4.09</v>
      </c>
      <c r="L405" s="10">
        <f t="shared" si="7"/>
        <v>2.5724441231399484E-2</v>
      </c>
    </row>
    <row r="406" spans="1:12" ht="14.25" customHeight="1" x14ac:dyDescent="0.3">
      <c r="A406" s="6" t="s">
        <v>430</v>
      </c>
      <c r="B406" s="6" t="s">
        <v>16</v>
      </c>
      <c r="C406" s="7">
        <v>45839</v>
      </c>
      <c r="D406" s="6" t="s">
        <v>17</v>
      </c>
      <c r="E406" s="8">
        <v>35525</v>
      </c>
      <c r="F406" s="8">
        <v>25161</v>
      </c>
      <c r="G406" s="8">
        <v>893</v>
      </c>
      <c r="H406" s="8">
        <v>251</v>
      </c>
      <c r="I406" s="8">
        <v>47</v>
      </c>
      <c r="J406" s="19">
        <f t="shared" si="10"/>
        <v>3.3525686136523576E-2</v>
      </c>
      <c r="K406" s="9">
        <v>4.7300000000000004</v>
      </c>
      <c r="L406" s="10">
        <f t="shared" si="7"/>
        <v>3.3525686136523576E-2</v>
      </c>
    </row>
    <row r="407" spans="1:12" ht="14.25" customHeight="1" x14ac:dyDescent="0.3">
      <c r="A407" s="6" t="s">
        <v>431</v>
      </c>
      <c r="B407" s="6" t="s">
        <v>16</v>
      </c>
      <c r="C407" s="7">
        <v>45865</v>
      </c>
      <c r="D407" s="6" t="s">
        <v>20</v>
      </c>
      <c r="E407" s="8">
        <v>19195</v>
      </c>
      <c r="F407" s="8">
        <v>15085</v>
      </c>
      <c r="G407" s="8">
        <v>1100</v>
      </c>
      <c r="H407" s="8">
        <v>42</v>
      </c>
      <c r="I407" s="8">
        <v>87</v>
      </c>
      <c r="J407" s="19">
        <f t="shared" si="10"/>
        <v>6.4027090388121904E-2</v>
      </c>
      <c r="K407" s="9">
        <v>8.15</v>
      </c>
      <c r="L407" s="10">
        <f t="shared" si="7"/>
        <v>6.4027090388121904E-2</v>
      </c>
    </row>
    <row r="408" spans="1:12" ht="14.25" customHeight="1" x14ac:dyDescent="0.3">
      <c r="A408" s="6" t="s">
        <v>432</v>
      </c>
      <c r="B408" s="6" t="s">
        <v>22</v>
      </c>
      <c r="C408" s="7">
        <v>45401</v>
      </c>
      <c r="D408" s="6" t="s">
        <v>23</v>
      </c>
      <c r="E408" s="8">
        <v>46574</v>
      </c>
      <c r="F408" s="8">
        <v>18250</v>
      </c>
      <c r="G408" s="8">
        <v>616</v>
      </c>
      <c r="H408" s="8">
        <v>489</v>
      </c>
      <c r="I408" s="8">
        <v>822</v>
      </c>
      <c r="J408" s="19">
        <f t="shared" si="10"/>
        <v>4.1375016103405333E-2</v>
      </c>
      <c r="K408" s="9">
        <v>10.56</v>
      </c>
      <c r="L408" s="10">
        <f t="shared" si="7"/>
        <v>4.1375016103405333E-2</v>
      </c>
    </row>
    <row r="409" spans="1:12" ht="14.25" customHeight="1" x14ac:dyDescent="0.3">
      <c r="A409" s="6" t="s">
        <v>433</v>
      </c>
      <c r="B409" s="6" t="s">
        <v>19</v>
      </c>
      <c r="C409" s="7">
        <v>45540</v>
      </c>
      <c r="D409" s="6" t="s">
        <v>20</v>
      </c>
      <c r="E409" s="8">
        <v>11288</v>
      </c>
      <c r="F409" s="8">
        <v>9803</v>
      </c>
      <c r="G409" s="8">
        <v>183</v>
      </c>
      <c r="H409" s="8">
        <v>71</v>
      </c>
      <c r="I409" s="8">
        <v>172</v>
      </c>
      <c r="J409" s="19">
        <f t="shared" si="10"/>
        <v>3.7739192062367116E-2</v>
      </c>
      <c r="K409" s="9">
        <v>4.3499999999999996</v>
      </c>
      <c r="L409" s="10">
        <f t="shared" si="7"/>
        <v>3.7739192062367116E-2</v>
      </c>
    </row>
    <row r="410" spans="1:12" ht="14.25" customHeight="1" x14ac:dyDescent="0.3">
      <c r="A410" s="6" t="s">
        <v>434</v>
      </c>
      <c r="B410" s="6" t="s">
        <v>16</v>
      </c>
      <c r="C410" s="7">
        <v>45977</v>
      </c>
      <c r="D410" s="6" t="s">
        <v>25</v>
      </c>
      <c r="E410" s="8">
        <v>28606</v>
      </c>
      <c r="F410" s="8">
        <v>20603</v>
      </c>
      <c r="G410" s="8">
        <v>1524</v>
      </c>
      <c r="H410" s="8">
        <v>200</v>
      </c>
      <c r="I410" s="8">
        <v>124</v>
      </c>
      <c r="J410" s="19">
        <f t="shared" si="10"/>
        <v>6.460183178354191E-2</v>
      </c>
      <c r="K410" s="9">
        <v>8.9700000000000006</v>
      </c>
      <c r="L410" s="10">
        <f t="shared" si="7"/>
        <v>6.460183178354191E-2</v>
      </c>
    </row>
    <row r="411" spans="1:12" ht="14.25" customHeight="1" x14ac:dyDescent="0.3">
      <c r="A411" s="6" t="s">
        <v>435</v>
      </c>
      <c r="B411" s="6" t="s">
        <v>19</v>
      </c>
      <c r="C411" s="7">
        <v>45759</v>
      </c>
      <c r="D411" s="6" t="s">
        <v>17</v>
      </c>
      <c r="E411" s="8">
        <v>14074</v>
      </c>
      <c r="F411" s="8">
        <v>12291</v>
      </c>
      <c r="G411" s="8">
        <v>200</v>
      </c>
      <c r="H411" s="8">
        <v>83</v>
      </c>
      <c r="I411" s="8">
        <v>116</v>
      </c>
      <c r="J411" s="19">
        <f t="shared" si="10"/>
        <v>2.835014921131164E-2</v>
      </c>
      <c r="K411" s="9">
        <v>3.25</v>
      </c>
      <c r="L411" s="10">
        <f t="shared" si="7"/>
        <v>2.835014921131164E-2</v>
      </c>
    </row>
    <row r="412" spans="1:12" ht="14.25" customHeight="1" x14ac:dyDescent="0.3">
      <c r="A412" s="6" t="s">
        <v>436</v>
      </c>
      <c r="B412" s="6" t="s">
        <v>13</v>
      </c>
      <c r="C412" s="7">
        <v>45617</v>
      </c>
      <c r="D412" s="6" t="s">
        <v>20</v>
      </c>
      <c r="E412" s="8">
        <v>59270</v>
      </c>
      <c r="F412" s="8">
        <v>26853</v>
      </c>
      <c r="G412" s="8">
        <v>662</v>
      </c>
      <c r="H412" s="8">
        <v>429</v>
      </c>
      <c r="I412" s="8">
        <v>453</v>
      </c>
      <c r="J412" s="19">
        <f t="shared" si="10"/>
        <v>2.6050278387042349E-2</v>
      </c>
      <c r="K412" s="9">
        <v>5.75</v>
      </c>
      <c r="L412" s="10">
        <f t="shared" si="7"/>
        <v>2.6050278387042349E-2</v>
      </c>
    </row>
    <row r="413" spans="1:12" ht="14.25" customHeight="1" x14ac:dyDescent="0.3">
      <c r="A413" s="6" t="s">
        <v>437</v>
      </c>
      <c r="B413" s="6" t="s">
        <v>13</v>
      </c>
      <c r="C413" s="7">
        <v>45943</v>
      </c>
      <c r="D413" s="6" t="s">
        <v>20</v>
      </c>
      <c r="E413" s="8">
        <v>75915</v>
      </c>
      <c r="F413" s="8">
        <v>40960</v>
      </c>
      <c r="G413" s="8">
        <v>1949</v>
      </c>
      <c r="H413" s="8">
        <v>534</v>
      </c>
      <c r="I413" s="8">
        <v>352</v>
      </c>
      <c r="J413" s="19">
        <f t="shared" si="10"/>
        <v>3.7344398340248962E-2</v>
      </c>
      <c r="K413" s="9">
        <v>6.92</v>
      </c>
      <c r="L413" s="10">
        <f t="shared" si="7"/>
        <v>3.7344398340248962E-2</v>
      </c>
    </row>
    <row r="414" spans="1:12" ht="14.25" customHeight="1" x14ac:dyDescent="0.3">
      <c r="A414" s="6" t="s">
        <v>438</v>
      </c>
      <c r="B414" s="6" t="s">
        <v>16</v>
      </c>
      <c r="C414" s="7">
        <v>45888</v>
      </c>
      <c r="D414" s="6" t="s">
        <v>20</v>
      </c>
      <c r="E414" s="8">
        <v>72976</v>
      </c>
      <c r="F414" s="8">
        <v>47147</v>
      </c>
      <c r="G414" s="8">
        <v>1145</v>
      </c>
      <c r="H414" s="8">
        <v>503</v>
      </c>
      <c r="I414" s="8">
        <v>360</v>
      </c>
      <c r="J414" s="19">
        <f t="shared" si="10"/>
        <v>2.7515895636921729E-2</v>
      </c>
      <c r="K414" s="9">
        <v>4.26</v>
      </c>
      <c r="L414" s="10">
        <f t="shared" si="7"/>
        <v>2.7515895636921729E-2</v>
      </c>
    </row>
    <row r="415" spans="1:12" ht="14.25" customHeight="1" x14ac:dyDescent="0.3">
      <c r="A415" s="6" t="s">
        <v>439</v>
      </c>
      <c r="B415" s="6" t="s">
        <v>16</v>
      </c>
      <c r="C415" s="7">
        <v>45712</v>
      </c>
      <c r="D415" s="6" t="s">
        <v>23</v>
      </c>
      <c r="E415" s="8">
        <v>84491</v>
      </c>
      <c r="F415" s="8">
        <v>47181</v>
      </c>
      <c r="G415" s="8">
        <v>1531</v>
      </c>
      <c r="H415" s="8">
        <v>410</v>
      </c>
      <c r="I415" s="8">
        <v>254</v>
      </c>
      <c r="J415" s="19">
        <f t="shared" si="10"/>
        <v>2.5979098365506385E-2</v>
      </c>
      <c r="K415" s="9">
        <v>4.6500000000000004</v>
      </c>
      <c r="L415" s="10">
        <f t="shared" si="7"/>
        <v>2.5979098365506385E-2</v>
      </c>
    </row>
    <row r="416" spans="1:12" ht="14.25" customHeight="1" x14ac:dyDescent="0.3">
      <c r="A416" s="6" t="s">
        <v>440</v>
      </c>
      <c r="B416" s="6" t="s">
        <v>16</v>
      </c>
      <c r="C416" s="7">
        <v>45531</v>
      </c>
      <c r="D416" s="6" t="s">
        <v>25</v>
      </c>
      <c r="E416" s="8">
        <v>41900</v>
      </c>
      <c r="F416" s="8">
        <v>25392</v>
      </c>
      <c r="G416" s="8">
        <v>557</v>
      </c>
      <c r="H416" s="8">
        <v>158</v>
      </c>
      <c r="I416" s="8">
        <v>145</v>
      </c>
      <c r="J416" s="19">
        <f t="shared" si="10"/>
        <v>2.052505966587112E-2</v>
      </c>
      <c r="K416" s="9">
        <v>3.39</v>
      </c>
      <c r="L416" s="10">
        <f t="shared" si="7"/>
        <v>2.052505966587112E-2</v>
      </c>
    </row>
    <row r="417" spans="1:12" ht="14.25" customHeight="1" x14ac:dyDescent="0.3">
      <c r="A417" s="6" t="s">
        <v>441</v>
      </c>
      <c r="B417" s="6" t="s">
        <v>16</v>
      </c>
      <c r="C417" s="7">
        <v>45950</v>
      </c>
      <c r="D417" s="6" t="s">
        <v>25</v>
      </c>
      <c r="E417" s="8">
        <v>2092</v>
      </c>
      <c r="F417" s="8">
        <v>1004</v>
      </c>
      <c r="G417" s="8">
        <v>23</v>
      </c>
      <c r="H417" s="8">
        <v>13</v>
      </c>
      <c r="I417" s="8">
        <v>3</v>
      </c>
      <c r="J417" s="19">
        <f t="shared" si="10"/>
        <v>1.8642447418738051E-2</v>
      </c>
      <c r="K417" s="9">
        <v>3.88</v>
      </c>
      <c r="L417" s="10">
        <f t="shared" si="7"/>
        <v>1.8642447418738051E-2</v>
      </c>
    </row>
    <row r="418" spans="1:12" ht="14.25" customHeight="1" x14ac:dyDescent="0.3">
      <c r="A418" s="6" t="s">
        <v>442</v>
      </c>
      <c r="B418" s="6" t="s">
        <v>22</v>
      </c>
      <c r="C418" s="7">
        <v>45524</v>
      </c>
      <c r="D418" s="6" t="s">
        <v>23</v>
      </c>
      <c r="E418" s="8">
        <v>74779</v>
      </c>
      <c r="F418" s="8">
        <v>35446</v>
      </c>
      <c r="G418" s="8">
        <v>2176</v>
      </c>
      <c r="H418" s="8">
        <v>1055</v>
      </c>
      <c r="I418" s="8">
        <v>1520</v>
      </c>
      <c r="J418" s="19">
        <f t="shared" si="10"/>
        <v>6.3533879832573317E-2</v>
      </c>
      <c r="K418" s="9">
        <v>13.4</v>
      </c>
      <c r="L418" s="10">
        <f t="shared" si="7"/>
        <v>6.3533879832573317E-2</v>
      </c>
    </row>
    <row r="419" spans="1:12" ht="14.25" customHeight="1" x14ac:dyDescent="0.3">
      <c r="A419" s="6" t="s">
        <v>443</v>
      </c>
      <c r="B419" s="6" t="s">
        <v>30</v>
      </c>
      <c r="C419" s="7">
        <v>45625</v>
      </c>
      <c r="D419" s="6" t="s">
        <v>14</v>
      </c>
      <c r="E419" s="8">
        <v>9916</v>
      </c>
      <c r="F419" s="8">
        <v>7511</v>
      </c>
      <c r="G419" s="8">
        <v>307</v>
      </c>
      <c r="H419" s="8">
        <v>78</v>
      </c>
      <c r="I419" s="8">
        <v>100</v>
      </c>
      <c r="J419" s="19">
        <f t="shared" si="10"/>
        <v>4.8910851149657118E-2</v>
      </c>
      <c r="K419" s="9">
        <v>6.46</v>
      </c>
      <c r="L419" s="10">
        <f t="shared" si="7"/>
        <v>4.8910851149657118E-2</v>
      </c>
    </row>
    <row r="420" spans="1:12" ht="14.25" customHeight="1" x14ac:dyDescent="0.3">
      <c r="A420" s="6" t="s">
        <v>444</v>
      </c>
      <c r="B420" s="6" t="s">
        <v>13</v>
      </c>
      <c r="C420" s="7">
        <v>45325</v>
      </c>
      <c r="D420" s="6" t="s">
        <v>14</v>
      </c>
      <c r="E420" s="8">
        <v>4445</v>
      </c>
      <c r="F420" s="8">
        <v>2252</v>
      </c>
      <c r="G420" s="8">
        <v>43</v>
      </c>
      <c r="H420" s="8">
        <v>16</v>
      </c>
      <c r="I420" s="8">
        <v>36</v>
      </c>
      <c r="J420" s="19">
        <f t="shared" si="10"/>
        <v>2.1372328458942633E-2</v>
      </c>
      <c r="K420" s="9">
        <v>4.22</v>
      </c>
      <c r="L420" s="10">
        <f t="shared" si="7"/>
        <v>2.1372328458942633E-2</v>
      </c>
    </row>
    <row r="421" spans="1:12" ht="14.25" customHeight="1" x14ac:dyDescent="0.3">
      <c r="A421" s="6" t="s">
        <v>445</v>
      </c>
      <c r="B421" s="6" t="s">
        <v>19</v>
      </c>
      <c r="C421" s="7">
        <v>45668</v>
      </c>
      <c r="D421" s="6" t="s">
        <v>14</v>
      </c>
      <c r="E421" s="8">
        <v>22072</v>
      </c>
      <c r="F421" s="8">
        <v>19403</v>
      </c>
      <c r="G421" s="8">
        <v>308</v>
      </c>
      <c r="H421" s="8">
        <v>40</v>
      </c>
      <c r="I421" s="8">
        <v>356</v>
      </c>
      <c r="J421" s="19">
        <f t="shared" si="10"/>
        <v>3.1895614353026458E-2</v>
      </c>
      <c r="K421" s="9">
        <v>3.63</v>
      </c>
      <c r="L421" s="10">
        <f t="shared" si="7"/>
        <v>3.1895614353026458E-2</v>
      </c>
    </row>
    <row r="422" spans="1:12" ht="14.25" customHeight="1" x14ac:dyDescent="0.3">
      <c r="A422" s="6" t="s">
        <v>446</v>
      </c>
      <c r="B422" s="6" t="s">
        <v>22</v>
      </c>
      <c r="C422" s="7">
        <v>45792</v>
      </c>
      <c r="D422" s="6" t="s">
        <v>23</v>
      </c>
      <c r="E422" s="8">
        <v>30790</v>
      </c>
      <c r="F422" s="8">
        <v>15756</v>
      </c>
      <c r="G422" s="8">
        <v>1096</v>
      </c>
      <c r="H422" s="8">
        <v>467</v>
      </c>
      <c r="I422" s="8">
        <v>541</v>
      </c>
      <c r="J422" s="19">
        <f t="shared" si="10"/>
        <v>6.8333874634621636E-2</v>
      </c>
      <c r="K422" s="9">
        <v>13.35</v>
      </c>
      <c r="L422" s="10">
        <f t="shared" si="7"/>
        <v>6.8333874634621636E-2</v>
      </c>
    </row>
    <row r="423" spans="1:12" ht="14.25" customHeight="1" x14ac:dyDescent="0.3">
      <c r="A423" s="6" t="s">
        <v>447</v>
      </c>
      <c r="B423" s="6" t="s">
        <v>22</v>
      </c>
      <c r="C423" s="7">
        <v>45735</v>
      </c>
      <c r="D423" s="6" t="s">
        <v>20</v>
      </c>
      <c r="E423" s="8">
        <v>251932</v>
      </c>
      <c r="F423" s="8">
        <v>111570</v>
      </c>
      <c r="G423" s="8">
        <v>8185</v>
      </c>
      <c r="H423" s="8">
        <v>2293</v>
      </c>
      <c r="I423" s="8">
        <v>2855</v>
      </c>
      <c r="J423" s="19">
        <f t="shared" si="10"/>
        <v>5.2923010971214456E-2</v>
      </c>
      <c r="K423" s="9">
        <v>11.95</v>
      </c>
      <c r="L423" s="10">
        <f t="shared" si="7"/>
        <v>5.2923010971214456E-2</v>
      </c>
    </row>
    <row r="424" spans="1:12" ht="14.25" customHeight="1" x14ac:dyDescent="0.3">
      <c r="A424" s="6" t="s">
        <v>448</v>
      </c>
      <c r="B424" s="6" t="s">
        <v>13</v>
      </c>
      <c r="C424" s="7">
        <v>45596</v>
      </c>
      <c r="D424" s="6" t="s">
        <v>25</v>
      </c>
      <c r="E424" s="8">
        <v>30992</v>
      </c>
      <c r="F424" s="8">
        <v>20919</v>
      </c>
      <c r="G424" s="8">
        <v>603</v>
      </c>
      <c r="H424" s="8">
        <v>409</v>
      </c>
      <c r="I424" s="8">
        <v>243</v>
      </c>
      <c r="J424" s="19">
        <f t="shared" si="10"/>
        <v>4.0494321115126485E-2</v>
      </c>
      <c r="K424" s="9">
        <v>6</v>
      </c>
      <c r="L424" s="10">
        <f t="shared" si="7"/>
        <v>4.0494321115126485E-2</v>
      </c>
    </row>
    <row r="425" spans="1:12" ht="14.25" customHeight="1" x14ac:dyDescent="0.3">
      <c r="A425" s="6" t="s">
        <v>449</v>
      </c>
      <c r="B425" s="6" t="s">
        <v>22</v>
      </c>
      <c r="C425" s="7">
        <v>45944</v>
      </c>
      <c r="D425" s="6" t="s">
        <v>23</v>
      </c>
      <c r="E425" s="8">
        <v>143707</v>
      </c>
      <c r="F425" s="8">
        <v>79032</v>
      </c>
      <c r="G425" s="8">
        <v>9168</v>
      </c>
      <c r="H425" s="8">
        <v>2327</v>
      </c>
      <c r="I425" s="8">
        <v>3788</v>
      </c>
      <c r="J425" s="19">
        <f t="shared" si="10"/>
        <v>0.10634833376244721</v>
      </c>
      <c r="K425" s="9">
        <v>19.34</v>
      </c>
      <c r="L425" s="10">
        <f t="shared" si="7"/>
        <v>0.10634833376244721</v>
      </c>
    </row>
    <row r="426" spans="1:12" ht="14.25" customHeight="1" x14ac:dyDescent="0.3">
      <c r="A426" s="6" t="s">
        <v>450</v>
      </c>
      <c r="B426" s="6" t="s">
        <v>19</v>
      </c>
      <c r="C426" s="7">
        <v>45866</v>
      </c>
      <c r="D426" s="6" t="s">
        <v>17</v>
      </c>
      <c r="E426" s="8">
        <v>4868</v>
      </c>
      <c r="F426" s="8">
        <v>2740</v>
      </c>
      <c r="G426" s="8">
        <v>38</v>
      </c>
      <c r="H426" s="8">
        <v>19</v>
      </c>
      <c r="I426" s="8">
        <v>16</v>
      </c>
      <c r="J426" s="19">
        <f t="shared" si="10"/>
        <v>1.4995891536565324E-2</v>
      </c>
      <c r="K426" s="9">
        <v>2.66</v>
      </c>
      <c r="L426" s="10">
        <f t="shared" si="7"/>
        <v>1.4995891536565324E-2</v>
      </c>
    </row>
    <row r="427" spans="1:12" ht="14.25" customHeight="1" x14ac:dyDescent="0.3">
      <c r="A427" s="6" t="s">
        <v>451</v>
      </c>
      <c r="B427" s="6" t="s">
        <v>19</v>
      </c>
      <c r="C427" s="7">
        <v>45409</v>
      </c>
      <c r="D427" s="6" t="s">
        <v>14</v>
      </c>
      <c r="E427" s="8">
        <v>21535</v>
      </c>
      <c r="F427" s="8">
        <v>12055</v>
      </c>
      <c r="G427" s="8">
        <v>361</v>
      </c>
      <c r="H427" s="8">
        <v>29</v>
      </c>
      <c r="I427" s="8">
        <v>205</v>
      </c>
      <c r="J427" s="19">
        <f t="shared" si="10"/>
        <v>2.7629440445785931E-2</v>
      </c>
      <c r="K427" s="9">
        <v>4.9400000000000004</v>
      </c>
      <c r="L427" s="10">
        <f t="shared" si="7"/>
        <v>2.7629440445785931E-2</v>
      </c>
    </row>
    <row r="428" spans="1:12" ht="14.25" customHeight="1" x14ac:dyDescent="0.3">
      <c r="A428" s="6" t="s">
        <v>452</v>
      </c>
      <c r="B428" s="6" t="s">
        <v>16</v>
      </c>
      <c r="C428" s="7">
        <v>45464</v>
      </c>
      <c r="D428" s="6" t="s">
        <v>20</v>
      </c>
      <c r="E428" s="8">
        <v>72066</v>
      </c>
      <c r="F428" s="8">
        <v>37138</v>
      </c>
      <c r="G428" s="8">
        <v>948</v>
      </c>
      <c r="H428" s="8">
        <v>470</v>
      </c>
      <c r="I428" s="8">
        <v>278</v>
      </c>
      <c r="J428" s="19">
        <f t="shared" si="10"/>
        <v>2.3533982738045682E-2</v>
      </c>
      <c r="K428" s="9">
        <v>4.57</v>
      </c>
      <c r="L428" s="10">
        <f t="shared" si="7"/>
        <v>2.3533982738045682E-2</v>
      </c>
    </row>
    <row r="429" spans="1:12" ht="14.25" customHeight="1" x14ac:dyDescent="0.3">
      <c r="A429" s="6" t="s">
        <v>453</v>
      </c>
      <c r="B429" s="6" t="s">
        <v>19</v>
      </c>
      <c r="C429" s="7">
        <v>45807</v>
      </c>
      <c r="D429" s="6" t="s">
        <v>17</v>
      </c>
      <c r="E429" s="8">
        <v>24044</v>
      </c>
      <c r="F429" s="8">
        <v>17053</v>
      </c>
      <c r="G429" s="8">
        <v>370</v>
      </c>
      <c r="H429" s="8">
        <v>101</v>
      </c>
      <c r="I429" s="8">
        <v>184</v>
      </c>
      <c r="J429" s="19">
        <f t="shared" si="10"/>
        <v>2.7241723506904011E-2</v>
      </c>
      <c r="K429" s="9">
        <v>3.84</v>
      </c>
      <c r="L429" s="10">
        <f t="shared" si="7"/>
        <v>2.7241723506904011E-2</v>
      </c>
    </row>
    <row r="430" spans="1:12" ht="14.25" customHeight="1" x14ac:dyDescent="0.3">
      <c r="A430" s="6" t="s">
        <v>454</v>
      </c>
      <c r="B430" s="6" t="s">
        <v>16</v>
      </c>
      <c r="C430" s="7">
        <v>45747</v>
      </c>
      <c r="D430" s="6" t="s">
        <v>20</v>
      </c>
      <c r="E430" s="8">
        <v>117879</v>
      </c>
      <c r="F430" s="8">
        <v>84135</v>
      </c>
      <c r="G430" s="8">
        <v>3779</v>
      </c>
      <c r="H430" s="8">
        <v>219</v>
      </c>
      <c r="I430" s="8">
        <v>331</v>
      </c>
      <c r="J430" s="19">
        <f t="shared" si="10"/>
        <v>3.672409843992569E-2</v>
      </c>
      <c r="K430" s="9">
        <v>5.15</v>
      </c>
      <c r="L430" s="10">
        <f t="shared" si="7"/>
        <v>3.672409843992569E-2</v>
      </c>
    </row>
    <row r="431" spans="1:12" ht="14.25" customHeight="1" x14ac:dyDescent="0.3">
      <c r="A431" s="6" t="s">
        <v>455</v>
      </c>
      <c r="B431" s="6" t="s">
        <v>13</v>
      </c>
      <c r="C431" s="7">
        <v>45860</v>
      </c>
      <c r="D431" s="6" t="s">
        <v>17</v>
      </c>
      <c r="E431" s="8">
        <v>14346</v>
      </c>
      <c r="F431" s="8">
        <v>9357</v>
      </c>
      <c r="G431" s="8">
        <v>141</v>
      </c>
      <c r="H431" s="8">
        <v>163</v>
      </c>
      <c r="I431" s="8">
        <v>79</v>
      </c>
      <c r="J431" s="19">
        <f t="shared" si="10"/>
        <v>2.6697337236860449E-2</v>
      </c>
      <c r="K431" s="9">
        <v>4.09</v>
      </c>
      <c r="L431" s="10">
        <f t="shared" si="7"/>
        <v>2.6697337236860449E-2</v>
      </c>
    </row>
    <row r="432" spans="1:12" ht="14.25" customHeight="1" x14ac:dyDescent="0.3">
      <c r="A432" s="6" t="s">
        <v>456</v>
      </c>
      <c r="B432" s="6" t="s">
        <v>30</v>
      </c>
      <c r="C432" s="7">
        <v>45694</v>
      </c>
      <c r="D432" s="6" t="s">
        <v>17</v>
      </c>
      <c r="E432" s="8">
        <v>3303</v>
      </c>
      <c r="F432" s="8">
        <v>1627</v>
      </c>
      <c r="G432" s="8">
        <v>45</v>
      </c>
      <c r="H432" s="8">
        <v>31</v>
      </c>
      <c r="I432" s="8">
        <v>16</v>
      </c>
      <c r="J432" s="19">
        <f t="shared" si="10"/>
        <v>2.7853466545564639E-2</v>
      </c>
      <c r="K432" s="9">
        <v>5.65</v>
      </c>
      <c r="L432" s="10">
        <f t="shared" si="7"/>
        <v>2.7853466545564639E-2</v>
      </c>
    </row>
    <row r="433" spans="1:12" ht="14.25" customHeight="1" x14ac:dyDescent="0.3">
      <c r="A433" s="6" t="s">
        <v>457</v>
      </c>
      <c r="B433" s="6" t="s">
        <v>19</v>
      </c>
      <c r="C433" s="7">
        <v>45488</v>
      </c>
      <c r="D433" s="6" t="s">
        <v>17</v>
      </c>
      <c r="E433" s="8">
        <v>7765</v>
      </c>
      <c r="F433" s="8">
        <v>5378</v>
      </c>
      <c r="G433" s="8">
        <v>111</v>
      </c>
      <c r="H433" s="8">
        <v>15</v>
      </c>
      <c r="I433" s="8">
        <v>26</v>
      </c>
      <c r="J433" s="19">
        <f t="shared" si="10"/>
        <v>1.957501609787508E-2</v>
      </c>
      <c r="K433" s="9">
        <v>2.83</v>
      </c>
      <c r="L433" s="10">
        <f t="shared" si="7"/>
        <v>1.957501609787508E-2</v>
      </c>
    </row>
    <row r="434" spans="1:12" ht="14.25" customHeight="1" x14ac:dyDescent="0.3">
      <c r="A434" s="6" t="s">
        <v>458</v>
      </c>
      <c r="B434" s="6" t="s">
        <v>13</v>
      </c>
      <c r="C434" s="7">
        <v>45705</v>
      </c>
      <c r="D434" s="6" t="s">
        <v>25</v>
      </c>
      <c r="E434" s="8">
        <v>21592</v>
      </c>
      <c r="F434" s="8">
        <v>8602</v>
      </c>
      <c r="G434" s="8">
        <v>123</v>
      </c>
      <c r="H434" s="8">
        <v>161</v>
      </c>
      <c r="I434" s="8">
        <v>152</v>
      </c>
      <c r="J434" s="19">
        <f t="shared" si="10"/>
        <v>2.0192663949610966E-2</v>
      </c>
      <c r="K434" s="9">
        <v>5.07</v>
      </c>
      <c r="L434" s="10">
        <f t="shared" si="7"/>
        <v>2.0192663949610966E-2</v>
      </c>
    </row>
    <row r="435" spans="1:12" ht="14.25" customHeight="1" x14ac:dyDescent="0.3">
      <c r="A435" s="6" t="s">
        <v>459</v>
      </c>
      <c r="B435" s="6" t="s">
        <v>19</v>
      </c>
      <c r="C435" s="7">
        <v>45971</v>
      </c>
      <c r="D435" s="6" t="s">
        <v>17</v>
      </c>
      <c r="E435" s="8">
        <v>13531</v>
      </c>
      <c r="F435" s="8">
        <v>11061</v>
      </c>
      <c r="G435" s="8">
        <v>55</v>
      </c>
      <c r="H435" s="8">
        <v>40</v>
      </c>
      <c r="I435" s="8">
        <v>183</v>
      </c>
      <c r="J435" s="19">
        <f t="shared" si="10"/>
        <v>2.0545414233981228E-2</v>
      </c>
      <c r="K435" s="9">
        <v>2.5099999999999998</v>
      </c>
      <c r="L435" s="10">
        <f t="shared" si="7"/>
        <v>2.0545414233981228E-2</v>
      </c>
    </row>
    <row r="436" spans="1:12" ht="14.25" customHeight="1" x14ac:dyDescent="0.3">
      <c r="A436" s="6" t="s">
        <v>460</v>
      </c>
      <c r="B436" s="6" t="s">
        <v>16</v>
      </c>
      <c r="C436" s="7">
        <v>45795</v>
      </c>
      <c r="D436" s="6" t="s">
        <v>23</v>
      </c>
      <c r="E436" s="8">
        <v>87545</v>
      </c>
      <c r="F436" s="8">
        <v>56804</v>
      </c>
      <c r="G436" s="8">
        <v>3480</v>
      </c>
      <c r="H436" s="8">
        <v>778</v>
      </c>
      <c r="I436" s="8">
        <v>443</v>
      </c>
      <c r="J436" s="19">
        <f t="shared" si="10"/>
        <v>5.3698098120966362E-2</v>
      </c>
      <c r="K436" s="9">
        <v>8.2799999999999994</v>
      </c>
      <c r="L436" s="10">
        <f t="shared" si="7"/>
        <v>5.3698098120966362E-2</v>
      </c>
    </row>
    <row r="437" spans="1:12" ht="14.25" customHeight="1" x14ac:dyDescent="0.3">
      <c r="A437" s="6" t="s">
        <v>461</v>
      </c>
      <c r="B437" s="6" t="s">
        <v>16</v>
      </c>
      <c r="C437" s="7">
        <v>45554</v>
      </c>
      <c r="D437" s="6" t="s">
        <v>23</v>
      </c>
      <c r="E437" s="8">
        <v>30509</v>
      </c>
      <c r="F437" s="8">
        <v>19164</v>
      </c>
      <c r="G437" s="8">
        <v>769</v>
      </c>
      <c r="H437" s="8">
        <v>216</v>
      </c>
      <c r="I437" s="8">
        <v>43</v>
      </c>
      <c r="J437" s="19">
        <f t="shared" si="10"/>
        <v>3.3694975253203974E-2</v>
      </c>
      <c r="K437" s="9">
        <v>5.36</v>
      </c>
      <c r="L437" s="10">
        <f t="shared" si="7"/>
        <v>3.3694975253203974E-2</v>
      </c>
    </row>
    <row r="438" spans="1:12" ht="14.25" customHeight="1" x14ac:dyDescent="0.3">
      <c r="A438" s="6" t="s">
        <v>462</v>
      </c>
      <c r="B438" s="6" t="s">
        <v>16</v>
      </c>
      <c r="C438" s="7">
        <v>45629</v>
      </c>
      <c r="D438" s="6" t="s">
        <v>25</v>
      </c>
      <c r="E438" s="8">
        <v>53167</v>
      </c>
      <c r="F438" s="8">
        <v>23514</v>
      </c>
      <c r="G438" s="8">
        <v>1779</v>
      </c>
      <c r="H438" s="8">
        <v>332</v>
      </c>
      <c r="I438" s="8">
        <v>44</v>
      </c>
      <c r="J438" s="19">
        <f t="shared" si="10"/>
        <v>4.0532661237233619E-2</v>
      </c>
      <c r="K438" s="9">
        <v>9.16</v>
      </c>
      <c r="L438" s="10">
        <f t="shared" si="7"/>
        <v>4.0532661237233619E-2</v>
      </c>
    </row>
    <row r="439" spans="1:12" ht="14.25" customHeight="1" x14ac:dyDescent="0.3">
      <c r="A439" s="6" t="s">
        <v>463</v>
      </c>
      <c r="B439" s="6" t="s">
        <v>13</v>
      </c>
      <c r="C439" s="7">
        <v>45365</v>
      </c>
      <c r="D439" s="6" t="s">
        <v>17</v>
      </c>
      <c r="E439" s="8">
        <v>22118</v>
      </c>
      <c r="F439" s="8">
        <v>10636</v>
      </c>
      <c r="G439" s="8">
        <v>350</v>
      </c>
      <c r="H439" s="8">
        <v>171</v>
      </c>
      <c r="I439" s="8">
        <v>189</v>
      </c>
      <c r="J439" s="19">
        <f t="shared" si="10"/>
        <v>3.2100551586942763E-2</v>
      </c>
      <c r="K439" s="9">
        <v>6.68</v>
      </c>
      <c r="L439" s="10">
        <f t="shared" si="7"/>
        <v>3.2100551586942763E-2</v>
      </c>
    </row>
    <row r="440" spans="1:12" ht="14.25" customHeight="1" x14ac:dyDescent="0.3">
      <c r="A440" s="6" t="s">
        <v>464</v>
      </c>
      <c r="B440" s="6" t="s">
        <v>22</v>
      </c>
      <c r="C440" s="7">
        <v>45833</v>
      </c>
      <c r="D440" s="6" t="s">
        <v>23</v>
      </c>
      <c r="E440" s="8">
        <v>6518</v>
      </c>
      <c r="F440" s="8">
        <v>4208</v>
      </c>
      <c r="G440" s="8">
        <v>456</v>
      </c>
      <c r="H440" s="8">
        <v>113</v>
      </c>
      <c r="I440" s="8">
        <v>50</v>
      </c>
      <c r="J440" s="19">
        <f t="shared" si="10"/>
        <v>9.4967781528076098E-2</v>
      </c>
      <c r="K440" s="9">
        <v>14.71</v>
      </c>
      <c r="L440" s="10">
        <f t="shared" si="7"/>
        <v>9.4967781528076098E-2</v>
      </c>
    </row>
    <row r="441" spans="1:12" ht="14.25" customHeight="1" x14ac:dyDescent="0.3">
      <c r="A441" s="6" t="s">
        <v>465</v>
      </c>
      <c r="B441" s="6" t="s">
        <v>16</v>
      </c>
      <c r="C441" s="7">
        <v>46008</v>
      </c>
      <c r="D441" s="6" t="s">
        <v>25</v>
      </c>
      <c r="E441" s="8">
        <v>57148</v>
      </c>
      <c r="F441" s="8">
        <v>44870</v>
      </c>
      <c r="G441" s="8">
        <v>1514</v>
      </c>
      <c r="H441" s="8">
        <v>359</v>
      </c>
      <c r="I441" s="8">
        <v>292</v>
      </c>
      <c r="J441" s="19">
        <f t="shared" si="10"/>
        <v>3.7884090431861132E-2</v>
      </c>
      <c r="K441" s="9">
        <v>4.83</v>
      </c>
      <c r="L441" s="10">
        <f t="shared" si="7"/>
        <v>3.7884090431861132E-2</v>
      </c>
    </row>
    <row r="442" spans="1:12" ht="14.25" customHeight="1" x14ac:dyDescent="0.3">
      <c r="A442" s="6" t="s">
        <v>466</v>
      </c>
      <c r="B442" s="6" t="s">
        <v>13</v>
      </c>
      <c r="C442" s="7">
        <v>45521</v>
      </c>
      <c r="D442" s="6" t="s">
        <v>17</v>
      </c>
      <c r="E442" s="8">
        <v>9102</v>
      </c>
      <c r="F442" s="8">
        <v>5221</v>
      </c>
      <c r="G442" s="8">
        <v>83</v>
      </c>
      <c r="H442" s="8">
        <v>19</v>
      </c>
      <c r="I442" s="8">
        <v>36</v>
      </c>
      <c r="J442" s="19">
        <f t="shared" si="10"/>
        <v>1.5161502966381015E-2</v>
      </c>
      <c r="K442" s="9">
        <v>2.64</v>
      </c>
      <c r="L442" s="10">
        <f t="shared" si="7"/>
        <v>1.5161502966381015E-2</v>
      </c>
    </row>
    <row r="443" spans="1:12" ht="14.25" customHeight="1" x14ac:dyDescent="0.3">
      <c r="A443" s="6" t="s">
        <v>467</v>
      </c>
      <c r="B443" s="6" t="s">
        <v>22</v>
      </c>
      <c r="C443" s="7">
        <v>45575</v>
      </c>
      <c r="D443" s="6" t="s">
        <v>23</v>
      </c>
      <c r="E443" s="8">
        <v>392291</v>
      </c>
      <c r="F443" s="8">
        <v>211695</v>
      </c>
      <c r="G443" s="8">
        <v>17800</v>
      </c>
      <c r="H443" s="8">
        <v>3874</v>
      </c>
      <c r="I443" s="8">
        <v>5323</v>
      </c>
      <c r="J443" s="19">
        <f t="shared" si="10"/>
        <v>6.8818810525859628E-2</v>
      </c>
      <c r="K443" s="9">
        <v>12.75</v>
      </c>
      <c r="L443" s="10">
        <f t="shared" si="7"/>
        <v>6.8818810525859628E-2</v>
      </c>
    </row>
    <row r="444" spans="1:12" ht="14.25" customHeight="1" x14ac:dyDescent="0.3">
      <c r="A444" s="6" t="s">
        <v>468</v>
      </c>
      <c r="B444" s="6" t="s">
        <v>22</v>
      </c>
      <c r="C444" s="7">
        <v>45549</v>
      </c>
      <c r="D444" s="6" t="s">
        <v>23</v>
      </c>
      <c r="E444" s="8">
        <v>82125</v>
      </c>
      <c r="F444" s="8">
        <v>30012</v>
      </c>
      <c r="G444" s="8">
        <v>2121</v>
      </c>
      <c r="H444" s="8">
        <v>621</v>
      </c>
      <c r="I444" s="8">
        <v>1487</v>
      </c>
      <c r="J444" s="19">
        <f t="shared" si="10"/>
        <v>5.1494672754946728E-2</v>
      </c>
      <c r="K444" s="9">
        <v>14.09</v>
      </c>
      <c r="L444" s="10">
        <f t="shared" si="7"/>
        <v>5.1494672754946728E-2</v>
      </c>
    </row>
    <row r="445" spans="1:12" ht="14.25" customHeight="1" x14ac:dyDescent="0.3">
      <c r="A445" s="6" t="s">
        <v>469</v>
      </c>
      <c r="B445" s="6" t="s">
        <v>22</v>
      </c>
      <c r="C445" s="7">
        <v>46014</v>
      </c>
      <c r="D445" s="6" t="s">
        <v>23</v>
      </c>
      <c r="E445" s="8">
        <v>225458</v>
      </c>
      <c r="F445" s="8">
        <v>132441</v>
      </c>
      <c r="G445" s="8">
        <v>8363</v>
      </c>
      <c r="H445" s="8">
        <v>1585</v>
      </c>
      <c r="I445" s="8">
        <v>3594</v>
      </c>
      <c r="J445" s="19">
        <f t="shared" si="10"/>
        <v>6.0064402238997949E-2</v>
      </c>
      <c r="K445" s="9">
        <v>10.220000000000001</v>
      </c>
      <c r="L445" s="10">
        <f t="shared" si="7"/>
        <v>6.0064402238997949E-2</v>
      </c>
    </row>
    <row r="446" spans="1:12" ht="14.25" customHeight="1" x14ac:dyDescent="0.3">
      <c r="A446" s="6" t="s">
        <v>470</v>
      </c>
      <c r="B446" s="6" t="s">
        <v>19</v>
      </c>
      <c r="C446" s="7">
        <v>45520</v>
      </c>
      <c r="D446" s="6" t="s">
        <v>20</v>
      </c>
      <c r="E446" s="8">
        <v>31441</v>
      </c>
      <c r="F446" s="8">
        <v>22917</v>
      </c>
      <c r="G446" s="8">
        <v>633</v>
      </c>
      <c r="H446" s="8">
        <v>99</v>
      </c>
      <c r="I446" s="8">
        <v>79</v>
      </c>
      <c r="J446" s="19">
        <f t="shared" si="10"/>
        <v>2.5794344963582582E-2</v>
      </c>
      <c r="K446" s="9">
        <v>3.54</v>
      </c>
      <c r="L446" s="10">
        <f t="shared" si="7"/>
        <v>2.5794344963582582E-2</v>
      </c>
    </row>
    <row r="447" spans="1:12" ht="14.25" customHeight="1" x14ac:dyDescent="0.3">
      <c r="A447" s="6" t="s">
        <v>471</v>
      </c>
      <c r="B447" s="6" t="s">
        <v>16</v>
      </c>
      <c r="C447" s="7">
        <v>45598</v>
      </c>
      <c r="D447" s="6" t="s">
        <v>25</v>
      </c>
      <c r="E447" s="8">
        <v>68693</v>
      </c>
      <c r="F447" s="8">
        <v>35653</v>
      </c>
      <c r="G447" s="8">
        <v>896</v>
      </c>
      <c r="H447" s="8">
        <v>435</v>
      </c>
      <c r="I447" s="8">
        <v>174</v>
      </c>
      <c r="J447" s="19">
        <f t="shared" si="10"/>
        <v>2.1909073704744299E-2</v>
      </c>
      <c r="K447" s="9">
        <v>4.22</v>
      </c>
      <c r="L447" s="10">
        <f t="shared" si="7"/>
        <v>2.1909073704744299E-2</v>
      </c>
    </row>
    <row r="448" spans="1:12" ht="14.25" customHeight="1" x14ac:dyDescent="0.3">
      <c r="A448" s="6" t="s">
        <v>472</v>
      </c>
      <c r="B448" s="6" t="s">
        <v>22</v>
      </c>
      <c r="C448" s="7">
        <v>45380</v>
      </c>
      <c r="D448" s="6" t="s">
        <v>23</v>
      </c>
      <c r="E448" s="8">
        <v>288296</v>
      </c>
      <c r="F448" s="8">
        <v>88273</v>
      </c>
      <c r="G448" s="8">
        <v>4066</v>
      </c>
      <c r="H448" s="8">
        <v>1872</v>
      </c>
      <c r="I448" s="8">
        <v>3760</v>
      </c>
      <c r="J448" s="19">
        <f t="shared" si="10"/>
        <v>3.3639037655742707E-2</v>
      </c>
      <c r="K448" s="9">
        <v>10.99</v>
      </c>
      <c r="L448" s="10">
        <f t="shared" si="7"/>
        <v>3.3639037655742707E-2</v>
      </c>
    </row>
    <row r="449" spans="1:12" ht="14.25" customHeight="1" x14ac:dyDescent="0.3">
      <c r="A449" s="6" t="s">
        <v>473</v>
      </c>
      <c r="B449" s="6" t="s">
        <v>13</v>
      </c>
      <c r="C449" s="7">
        <v>45727</v>
      </c>
      <c r="D449" s="6" t="s">
        <v>14</v>
      </c>
      <c r="E449" s="8">
        <v>1023</v>
      </c>
      <c r="F449" s="8">
        <v>695</v>
      </c>
      <c r="G449" s="8">
        <v>30</v>
      </c>
      <c r="H449" s="8">
        <v>9</v>
      </c>
      <c r="I449" s="8">
        <v>12</v>
      </c>
      <c r="J449" s="19">
        <f t="shared" si="10"/>
        <v>4.9853372434017593E-2</v>
      </c>
      <c r="K449" s="9">
        <v>7.34</v>
      </c>
      <c r="L449" s="10">
        <f t="shared" si="7"/>
        <v>4.9853372434017593E-2</v>
      </c>
    </row>
    <row r="450" spans="1:12" ht="14.25" customHeight="1" x14ac:dyDescent="0.3">
      <c r="A450" s="6" t="s">
        <v>474</v>
      </c>
      <c r="B450" s="6" t="s">
        <v>19</v>
      </c>
      <c r="C450" s="7">
        <v>45293</v>
      </c>
      <c r="D450" s="6" t="s">
        <v>20</v>
      </c>
      <c r="E450" s="8">
        <v>3481</v>
      </c>
      <c r="F450" s="8">
        <v>2768</v>
      </c>
      <c r="G450" s="8">
        <v>41</v>
      </c>
      <c r="H450" s="8">
        <v>19</v>
      </c>
      <c r="I450" s="8">
        <v>36</v>
      </c>
      <c r="J450" s="19">
        <f t="shared" si="10"/>
        <v>2.757828210284401E-2</v>
      </c>
      <c r="K450" s="9">
        <v>3.47</v>
      </c>
      <c r="L450" s="10">
        <f t="shared" si="7"/>
        <v>2.757828210284401E-2</v>
      </c>
    </row>
    <row r="451" spans="1:12" ht="14.25" customHeight="1" x14ac:dyDescent="0.3">
      <c r="A451" s="6" t="s">
        <v>475</v>
      </c>
      <c r="B451" s="6" t="s">
        <v>30</v>
      </c>
      <c r="C451" s="7">
        <v>46002</v>
      </c>
      <c r="D451" s="6" t="s">
        <v>14</v>
      </c>
      <c r="E451" s="8">
        <v>18614</v>
      </c>
      <c r="F451" s="8">
        <v>13525</v>
      </c>
      <c r="G451" s="8">
        <v>446</v>
      </c>
      <c r="H451" s="8">
        <v>168</v>
      </c>
      <c r="I451" s="8">
        <v>149</v>
      </c>
      <c r="J451" s="19">
        <f t="shared" ref="J451:J514" si="11">(G451+H451+I451)/E451</f>
        <v>4.0990652197270869E-2</v>
      </c>
      <c r="K451" s="9">
        <v>5.64</v>
      </c>
      <c r="L451" s="10">
        <f t="shared" si="7"/>
        <v>4.0990652197270869E-2</v>
      </c>
    </row>
    <row r="452" spans="1:12" ht="14.25" customHeight="1" x14ac:dyDescent="0.3">
      <c r="A452" s="6" t="s">
        <v>476</v>
      </c>
      <c r="B452" s="6" t="s">
        <v>19</v>
      </c>
      <c r="C452" s="7">
        <v>45923</v>
      </c>
      <c r="D452" s="6" t="s">
        <v>20</v>
      </c>
      <c r="E452" s="8">
        <v>29996</v>
      </c>
      <c r="F452" s="8">
        <v>16944</v>
      </c>
      <c r="G452" s="8">
        <v>288</v>
      </c>
      <c r="H452" s="8">
        <v>71</v>
      </c>
      <c r="I452" s="8">
        <v>93</v>
      </c>
      <c r="J452" s="19">
        <f t="shared" si="11"/>
        <v>1.5068675823443126E-2</v>
      </c>
      <c r="K452" s="9">
        <v>2.67</v>
      </c>
      <c r="L452" s="10">
        <f t="shared" si="7"/>
        <v>1.5068675823443126E-2</v>
      </c>
    </row>
    <row r="453" spans="1:12" ht="14.25" customHeight="1" x14ac:dyDescent="0.3">
      <c r="A453" s="6" t="s">
        <v>477</v>
      </c>
      <c r="B453" s="6" t="s">
        <v>19</v>
      </c>
      <c r="C453" s="7">
        <v>45922</v>
      </c>
      <c r="D453" s="6" t="s">
        <v>17</v>
      </c>
      <c r="E453" s="8">
        <v>5854</v>
      </c>
      <c r="F453" s="8">
        <v>3519</v>
      </c>
      <c r="G453" s="8">
        <v>68</v>
      </c>
      <c r="H453" s="8">
        <v>7</v>
      </c>
      <c r="I453" s="8">
        <v>60</v>
      </c>
      <c r="J453" s="19">
        <f t="shared" si="11"/>
        <v>2.3061154765971984E-2</v>
      </c>
      <c r="K453" s="9">
        <v>3.84</v>
      </c>
      <c r="L453" s="10">
        <f t="shared" si="7"/>
        <v>2.3061154765971984E-2</v>
      </c>
    </row>
    <row r="454" spans="1:12" ht="14.25" customHeight="1" x14ac:dyDescent="0.3">
      <c r="A454" s="6" t="s">
        <v>478</v>
      </c>
      <c r="B454" s="6" t="s">
        <v>13</v>
      </c>
      <c r="C454" s="7">
        <v>45845</v>
      </c>
      <c r="D454" s="6" t="s">
        <v>14</v>
      </c>
      <c r="E454" s="8">
        <v>12421</v>
      </c>
      <c r="F454" s="8">
        <v>5242</v>
      </c>
      <c r="G454" s="8">
        <v>156</v>
      </c>
      <c r="H454" s="8">
        <v>19</v>
      </c>
      <c r="I454" s="8">
        <v>100</v>
      </c>
      <c r="J454" s="19">
        <f t="shared" si="11"/>
        <v>2.2139924321713227E-2</v>
      </c>
      <c r="K454" s="9">
        <v>5.25</v>
      </c>
      <c r="L454" s="10">
        <f t="shared" si="7"/>
        <v>2.2139924321713227E-2</v>
      </c>
    </row>
    <row r="455" spans="1:12" ht="14.25" customHeight="1" x14ac:dyDescent="0.3">
      <c r="A455" s="6" t="s">
        <v>479</v>
      </c>
      <c r="B455" s="6" t="s">
        <v>13</v>
      </c>
      <c r="C455" s="7">
        <v>45654</v>
      </c>
      <c r="D455" s="6" t="s">
        <v>17</v>
      </c>
      <c r="E455" s="8">
        <v>26906</v>
      </c>
      <c r="F455" s="8">
        <v>16471</v>
      </c>
      <c r="G455" s="8">
        <v>544</v>
      </c>
      <c r="H455" s="8">
        <v>158</v>
      </c>
      <c r="I455" s="8">
        <v>240</v>
      </c>
      <c r="J455" s="19">
        <f t="shared" si="11"/>
        <v>3.5010778265070985E-2</v>
      </c>
      <c r="K455" s="9">
        <v>5.72</v>
      </c>
      <c r="L455" s="10">
        <f t="shared" si="7"/>
        <v>3.5010778265070985E-2</v>
      </c>
    </row>
    <row r="456" spans="1:12" ht="14.25" customHeight="1" x14ac:dyDescent="0.3">
      <c r="A456" s="6" t="s">
        <v>480</v>
      </c>
      <c r="B456" s="6" t="s">
        <v>22</v>
      </c>
      <c r="C456" s="7">
        <v>45883</v>
      </c>
      <c r="D456" s="6" t="s">
        <v>23</v>
      </c>
      <c r="E456" s="8">
        <v>328225</v>
      </c>
      <c r="F456" s="8">
        <v>141102</v>
      </c>
      <c r="G456" s="8">
        <v>4621</v>
      </c>
      <c r="H456" s="8">
        <v>3283</v>
      </c>
      <c r="I456" s="8">
        <v>1763</v>
      </c>
      <c r="J456" s="19">
        <f t="shared" si="11"/>
        <v>2.9452357376799451E-2</v>
      </c>
      <c r="K456" s="9">
        <v>6.85</v>
      </c>
      <c r="L456" s="10">
        <f t="shared" si="7"/>
        <v>2.9452357376799451E-2</v>
      </c>
    </row>
    <row r="457" spans="1:12" ht="14.25" customHeight="1" x14ac:dyDescent="0.3">
      <c r="A457" s="6" t="s">
        <v>481</v>
      </c>
      <c r="B457" s="6" t="s">
        <v>16</v>
      </c>
      <c r="C457" s="7">
        <v>45679</v>
      </c>
      <c r="D457" s="6" t="s">
        <v>17</v>
      </c>
      <c r="E457" s="8">
        <v>17569</v>
      </c>
      <c r="F457" s="8">
        <v>11376</v>
      </c>
      <c r="G457" s="8">
        <v>827</v>
      </c>
      <c r="H457" s="8">
        <v>41</v>
      </c>
      <c r="I457" s="8">
        <v>46</v>
      </c>
      <c r="J457" s="19">
        <f t="shared" si="11"/>
        <v>5.2023450395583128E-2</v>
      </c>
      <c r="K457" s="9">
        <v>8.0299999999999994</v>
      </c>
      <c r="L457" s="10">
        <f t="shared" si="7"/>
        <v>5.2023450395583128E-2</v>
      </c>
    </row>
    <row r="458" spans="1:12" ht="14.25" customHeight="1" x14ac:dyDescent="0.3">
      <c r="A458" s="6" t="s">
        <v>482</v>
      </c>
      <c r="B458" s="6" t="s">
        <v>16</v>
      </c>
      <c r="C458" s="7">
        <v>45665</v>
      </c>
      <c r="D458" s="6" t="s">
        <v>23</v>
      </c>
      <c r="E458" s="8">
        <v>66334</v>
      </c>
      <c r="F458" s="8">
        <v>51977</v>
      </c>
      <c r="G458" s="8">
        <v>3856</v>
      </c>
      <c r="H458" s="8">
        <v>534</v>
      </c>
      <c r="I458" s="8">
        <v>80</v>
      </c>
      <c r="J458" s="19">
        <f t="shared" si="11"/>
        <v>6.7386257424548499E-2</v>
      </c>
      <c r="K458" s="9">
        <v>8.6</v>
      </c>
      <c r="L458" s="10">
        <f t="shared" si="7"/>
        <v>6.7386257424548499E-2</v>
      </c>
    </row>
    <row r="459" spans="1:12" ht="14.25" customHeight="1" x14ac:dyDescent="0.3">
      <c r="A459" s="6" t="s">
        <v>483</v>
      </c>
      <c r="B459" s="6" t="s">
        <v>30</v>
      </c>
      <c r="C459" s="7">
        <v>45599</v>
      </c>
      <c r="D459" s="6" t="s">
        <v>25</v>
      </c>
      <c r="E459" s="8">
        <v>19570</v>
      </c>
      <c r="F459" s="8">
        <v>15430</v>
      </c>
      <c r="G459" s="8">
        <v>681</v>
      </c>
      <c r="H459" s="8">
        <v>176</v>
      </c>
      <c r="I459" s="8">
        <v>156</v>
      </c>
      <c r="J459" s="19">
        <f t="shared" si="11"/>
        <v>5.1762902401635155E-2</v>
      </c>
      <c r="K459" s="9">
        <v>6.57</v>
      </c>
      <c r="L459" s="10">
        <f t="shared" si="7"/>
        <v>5.1762902401635155E-2</v>
      </c>
    </row>
    <row r="460" spans="1:12" ht="14.25" customHeight="1" x14ac:dyDescent="0.3">
      <c r="A460" s="6" t="s">
        <v>484</v>
      </c>
      <c r="B460" s="6" t="s">
        <v>30</v>
      </c>
      <c r="C460" s="7">
        <v>45419</v>
      </c>
      <c r="D460" s="6" t="s">
        <v>14</v>
      </c>
      <c r="E460" s="8">
        <v>9852</v>
      </c>
      <c r="F460" s="8">
        <v>6630</v>
      </c>
      <c r="G460" s="8">
        <v>339</v>
      </c>
      <c r="H460" s="8">
        <v>103</v>
      </c>
      <c r="I460" s="8">
        <v>87</v>
      </c>
      <c r="J460" s="19">
        <f t="shared" si="11"/>
        <v>5.3694681282988224E-2</v>
      </c>
      <c r="K460" s="9">
        <v>7.98</v>
      </c>
      <c r="L460" s="10">
        <f t="shared" si="7"/>
        <v>5.3694681282988224E-2</v>
      </c>
    </row>
    <row r="461" spans="1:12" ht="14.25" customHeight="1" x14ac:dyDescent="0.3">
      <c r="A461" s="6" t="s">
        <v>485</v>
      </c>
      <c r="B461" s="6" t="s">
        <v>16</v>
      </c>
      <c r="C461" s="7">
        <v>45931</v>
      </c>
      <c r="D461" s="6" t="s">
        <v>20</v>
      </c>
      <c r="E461" s="8">
        <v>92161</v>
      </c>
      <c r="F461" s="8">
        <v>40403</v>
      </c>
      <c r="G461" s="8">
        <v>2368</v>
      </c>
      <c r="H461" s="8">
        <v>102</v>
      </c>
      <c r="I461" s="8">
        <v>87</v>
      </c>
      <c r="J461" s="19">
        <f t="shared" si="11"/>
        <v>2.7744924642744761E-2</v>
      </c>
      <c r="K461" s="9">
        <v>6.33</v>
      </c>
      <c r="L461" s="10">
        <f t="shared" si="7"/>
        <v>2.7744924642744761E-2</v>
      </c>
    </row>
    <row r="462" spans="1:12" ht="14.25" customHeight="1" x14ac:dyDescent="0.3">
      <c r="A462" s="6" t="s">
        <v>486</v>
      </c>
      <c r="B462" s="6" t="s">
        <v>13</v>
      </c>
      <c r="C462" s="7">
        <v>45736</v>
      </c>
      <c r="D462" s="6" t="s">
        <v>14</v>
      </c>
      <c r="E462" s="8">
        <v>3970</v>
      </c>
      <c r="F462" s="8">
        <v>2263</v>
      </c>
      <c r="G462" s="8">
        <v>24</v>
      </c>
      <c r="H462" s="8">
        <v>8</v>
      </c>
      <c r="I462" s="8">
        <v>28</v>
      </c>
      <c r="J462" s="19">
        <f t="shared" si="11"/>
        <v>1.5113350125944584E-2</v>
      </c>
      <c r="K462" s="9">
        <v>2.65</v>
      </c>
      <c r="L462" s="10">
        <f t="shared" si="7"/>
        <v>1.5113350125944584E-2</v>
      </c>
    </row>
    <row r="463" spans="1:12" ht="14.25" customHeight="1" x14ac:dyDescent="0.3">
      <c r="A463" s="6" t="s">
        <v>487</v>
      </c>
      <c r="B463" s="6" t="s">
        <v>22</v>
      </c>
      <c r="C463" s="7">
        <v>45830</v>
      </c>
      <c r="D463" s="6" t="s">
        <v>23</v>
      </c>
      <c r="E463" s="8">
        <v>110636</v>
      </c>
      <c r="F463" s="8">
        <v>36923</v>
      </c>
      <c r="G463" s="8">
        <v>1473</v>
      </c>
      <c r="H463" s="8">
        <v>914</v>
      </c>
      <c r="I463" s="8">
        <v>1165</v>
      </c>
      <c r="J463" s="19">
        <f t="shared" si="11"/>
        <v>3.210528218663003E-2</v>
      </c>
      <c r="K463" s="9">
        <v>9.6199999999999992</v>
      </c>
      <c r="L463" s="10">
        <f t="shared" si="7"/>
        <v>3.210528218663003E-2</v>
      </c>
    </row>
    <row r="464" spans="1:12" ht="14.25" customHeight="1" x14ac:dyDescent="0.3">
      <c r="A464" s="6" t="s">
        <v>488</v>
      </c>
      <c r="B464" s="6" t="s">
        <v>16</v>
      </c>
      <c r="C464" s="7">
        <v>45716</v>
      </c>
      <c r="D464" s="6" t="s">
        <v>23</v>
      </c>
      <c r="E464" s="8">
        <v>52965</v>
      </c>
      <c r="F464" s="8">
        <v>21319</v>
      </c>
      <c r="G464" s="8">
        <v>616</v>
      </c>
      <c r="H464" s="8">
        <v>180</v>
      </c>
      <c r="I464" s="8">
        <v>147</v>
      </c>
      <c r="J464" s="19">
        <f t="shared" si="11"/>
        <v>1.7804210327574812E-2</v>
      </c>
      <c r="K464" s="9">
        <v>4.42</v>
      </c>
      <c r="L464" s="10">
        <f t="shared" si="7"/>
        <v>1.7804210327574812E-2</v>
      </c>
    </row>
    <row r="465" spans="1:12" ht="14.25" customHeight="1" x14ac:dyDescent="0.3">
      <c r="A465" s="6" t="s">
        <v>489</v>
      </c>
      <c r="B465" s="6" t="s">
        <v>19</v>
      </c>
      <c r="C465" s="7">
        <v>45490</v>
      </c>
      <c r="D465" s="6" t="s">
        <v>20</v>
      </c>
      <c r="E465" s="8">
        <v>43511</v>
      </c>
      <c r="F465" s="8">
        <v>37194</v>
      </c>
      <c r="G465" s="8">
        <v>998</v>
      </c>
      <c r="H465" s="8">
        <v>135</v>
      </c>
      <c r="I465" s="8">
        <v>84</v>
      </c>
      <c r="J465" s="19">
        <f t="shared" si="11"/>
        <v>2.7969938636206938E-2</v>
      </c>
      <c r="K465" s="9">
        <v>3.27</v>
      </c>
      <c r="L465" s="10">
        <f t="shared" si="7"/>
        <v>2.7969938636206938E-2</v>
      </c>
    </row>
    <row r="466" spans="1:12" ht="14.25" customHeight="1" x14ac:dyDescent="0.3">
      <c r="A466" s="6" t="s">
        <v>490</v>
      </c>
      <c r="B466" s="6" t="s">
        <v>22</v>
      </c>
      <c r="C466" s="7">
        <v>45914</v>
      </c>
      <c r="D466" s="6" t="s">
        <v>23</v>
      </c>
      <c r="E466" s="8">
        <v>337983</v>
      </c>
      <c r="F466" s="8">
        <v>146786</v>
      </c>
      <c r="G466" s="8">
        <v>16597</v>
      </c>
      <c r="H466" s="8">
        <v>3627</v>
      </c>
      <c r="I466" s="8">
        <v>6567</v>
      </c>
      <c r="J466" s="19">
        <f t="shared" si="11"/>
        <v>7.9267300426352799E-2</v>
      </c>
      <c r="K466" s="9">
        <v>18.25</v>
      </c>
      <c r="L466" s="10">
        <f t="shared" si="7"/>
        <v>7.9267300426352799E-2</v>
      </c>
    </row>
    <row r="467" spans="1:12" ht="14.25" customHeight="1" x14ac:dyDescent="0.3">
      <c r="A467" s="6" t="s">
        <v>491</v>
      </c>
      <c r="B467" s="6" t="s">
        <v>22</v>
      </c>
      <c r="C467" s="7">
        <v>45339</v>
      </c>
      <c r="D467" s="6" t="s">
        <v>23</v>
      </c>
      <c r="E467" s="8">
        <v>164695</v>
      </c>
      <c r="F467" s="8">
        <v>90796</v>
      </c>
      <c r="G467" s="8">
        <v>6004</v>
      </c>
      <c r="H467" s="8">
        <v>651</v>
      </c>
      <c r="I467" s="8">
        <v>3479</v>
      </c>
      <c r="J467" s="19">
        <f t="shared" si="11"/>
        <v>6.1531922644889034E-2</v>
      </c>
      <c r="K467" s="9">
        <v>11.16</v>
      </c>
      <c r="L467" s="10">
        <f t="shared" si="7"/>
        <v>6.1531922644889034E-2</v>
      </c>
    </row>
    <row r="468" spans="1:12" ht="14.25" customHeight="1" x14ac:dyDescent="0.3">
      <c r="A468" s="6" t="s">
        <v>492</v>
      </c>
      <c r="B468" s="6" t="s">
        <v>30</v>
      </c>
      <c r="C468" s="7">
        <v>45337</v>
      </c>
      <c r="D468" s="6" t="s">
        <v>25</v>
      </c>
      <c r="E468" s="8">
        <v>16374</v>
      </c>
      <c r="F468" s="8">
        <v>12880</v>
      </c>
      <c r="G468" s="8">
        <v>274</v>
      </c>
      <c r="H468" s="8">
        <v>145</v>
      </c>
      <c r="I468" s="8">
        <v>63</v>
      </c>
      <c r="J468" s="19">
        <f t="shared" si="11"/>
        <v>2.943691217784292E-2</v>
      </c>
      <c r="K468" s="9">
        <v>3.74</v>
      </c>
      <c r="L468" s="10">
        <f t="shared" si="7"/>
        <v>2.943691217784292E-2</v>
      </c>
    </row>
    <row r="469" spans="1:12" ht="14.25" customHeight="1" x14ac:dyDescent="0.3">
      <c r="A469" s="6" t="s">
        <v>493</v>
      </c>
      <c r="B469" s="6" t="s">
        <v>22</v>
      </c>
      <c r="C469" s="7">
        <v>45346</v>
      </c>
      <c r="D469" s="6" t="s">
        <v>20</v>
      </c>
      <c r="E469" s="8">
        <v>459458</v>
      </c>
      <c r="F469" s="8">
        <v>319894</v>
      </c>
      <c r="G469" s="8">
        <v>38021</v>
      </c>
      <c r="H469" s="8">
        <v>7712</v>
      </c>
      <c r="I469" s="8">
        <v>11817</v>
      </c>
      <c r="J469" s="19">
        <f t="shared" si="11"/>
        <v>0.1252562802258313</v>
      </c>
      <c r="K469" s="9">
        <v>17.989999999999998</v>
      </c>
      <c r="L469" s="10">
        <f t="shared" si="7"/>
        <v>0.1252562802258313</v>
      </c>
    </row>
    <row r="470" spans="1:12" ht="14.25" customHeight="1" x14ac:dyDescent="0.3">
      <c r="A470" s="6" t="s">
        <v>494</v>
      </c>
      <c r="B470" s="6" t="s">
        <v>13</v>
      </c>
      <c r="C470" s="7">
        <v>45894</v>
      </c>
      <c r="D470" s="6" t="s">
        <v>17</v>
      </c>
      <c r="E470" s="8">
        <v>16448</v>
      </c>
      <c r="F470" s="8">
        <v>7957</v>
      </c>
      <c r="G470" s="8">
        <v>185</v>
      </c>
      <c r="H470" s="8">
        <v>107</v>
      </c>
      <c r="I470" s="8">
        <v>133</v>
      </c>
      <c r="J470" s="19">
        <f t="shared" si="11"/>
        <v>2.5839007782101166E-2</v>
      </c>
      <c r="K470" s="9">
        <v>5.34</v>
      </c>
      <c r="L470" s="10">
        <f t="shared" si="7"/>
        <v>2.5839007782101166E-2</v>
      </c>
    </row>
    <row r="471" spans="1:12" ht="14.25" customHeight="1" x14ac:dyDescent="0.3">
      <c r="A471" s="6" t="s">
        <v>495</v>
      </c>
      <c r="B471" s="6" t="s">
        <v>30</v>
      </c>
      <c r="C471" s="7">
        <v>45785</v>
      </c>
      <c r="D471" s="6" t="s">
        <v>14</v>
      </c>
      <c r="E471" s="8">
        <v>7337</v>
      </c>
      <c r="F471" s="8">
        <v>5366</v>
      </c>
      <c r="G471" s="8">
        <v>81</v>
      </c>
      <c r="H471" s="8">
        <v>112</v>
      </c>
      <c r="I471" s="8">
        <v>59</v>
      </c>
      <c r="J471" s="19">
        <f t="shared" si="11"/>
        <v>3.4346463132070328E-2</v>
      </c>
      <c r="K471" s="9">
        <v>4.7</v>
      </c>
      <c r="L471" s="10">
        <f t="shared" si="7"/>
        <v>3.4346463132070328E-2</v>
      </c>
    </row>
    <row r="472" spans="1:12" ht="14.25" customHeight="1" x14ac:dyDescent="0.3">
      <c r="A472" s="6" t="s">
        <v>496</v>
      </c>
      <c r="B472" s="6" t="s">
        <v>19</v>
      </c>
      <c r="C472" s="7">
        <v>45371</v>
      </c>
      <c r="D472" s="6" t="s">
        <v>14</v>
      </c>
      <c r="E472" s="8">
        <v>18681</v>
      </c>
      <c r="F472" s="8">
        <v>13036</v>
      </c>
      <c r="G472" s="8">
        <v>151</v>
      </c>
      <c r="H472" s="8">
        <v>52</v>
      </c>
      <c r="I472" s="8">
        <v>160</v>
      </c>
      <c r="J472" s="19">
        <f t="shared" si="11"/>
        <v>1.9431507949253253E-2</v>
      </c>
      <c r="K472" s="9">
        <v>2.78</v>
      </c>
      <c r="L472" s="10">
        <f t="shared" si="7"/>
        <v>1.9431507949253253E-2</v>
      </c>
    </row>
    <row r="473" spans="1:12" ht="14.25" customHeight="1" x14ac:dyDescent="0.3">
      <c r="A473" s="6" t="s">
        <v>497</v>
      </c>
      <c r="B473" s="6" t="s">
        <v>19</v>
      </c>
      <c r="C473" s="7">
        <v>45525</v>
      </c>
      <c r="D473" s="6" t="s">
        <v>20</v>
      </c>
      <c r="E473" s="8">
        <v>37918</v>
      </c>
      <c r="F473" s="8">
        <v>24272</v>
      </c>
      <c r="G473" s="8">
        <v>469</v>
      </c>
      <c r="H473" s="8">
        <v>158</v>
      </c>
      <c r="I473" s="8">
        <v>465</v>
      </c>
      <c r="J473" s="19">
        <f t="shared" si="11"/>
        <v>2.8798987288359092E-2</v>
      </c>
      <c r="K473" s="9">
        <v>4.5</v>
      </c>
      <c r="L473" s="10">
        <f t="shared" si="7"/>
        <v>2.8798987288359092E-2</v>
      </c>
    </row>
    <row r="474" spans="1:12" ht="14.25" customHeight="1" x14ac:dyDescent="0.3">
      <c r="A474" s="6" t="s">
        <v>498</v>
      </c>
      <c r="B474" s="6" t="s">
        <v>19</v>
      </c>
      <c r="C474" s="7">
        <v>45376</v>
      </c>
      <c r="D474" s="6" t="s">
        <v>20</v>
      </c>
      <c r="E474" s="8">
        <v>31283</v>
      </c>
      <c r="F474" s="8">
        <v>21876</v>
      </c>
      <c r="G474" s="8">
        <v>129</v>
      </c>
      <c r="H474" s="8">
        <v>114</v>
      </c>
      <c r="I474" s="8">
        <v>253</v>
      </c>
      <c r="J474" s="19">
        <f t="shared" si="11"/>
        <v>1.58552568487677E-2</v>
      </c>
      <c r="K474" s="9">
        <v>2.27</v>
      </c>
      <c r="L474" s="10">
        <f t="shared" si="7"/>
        <v>1.58552568487677E-2</v>
      </c>
    </row>
    <row r="475" spans="1:12" ht="14.25" customHeight="1" x14ac:dyDescent="0.3">
      <c r="A475" s="6" t="s">
        <v>499</v>
      </c>
      <c r="B475" s="6" t="s">
        <v>22</v>
      </c>
      <c r="C475" s="7">
        <v>45428</v>
      </c>
      <c r="D475" s="6" t="s">
        <v>23</v>
      </c>
      <c r="E475" s="8">
        <v>339247</v>
      </c>
      <c r="F475" s="8">
        <v>113189</v>
      </c>
      <c r="G475" s="8">
        <v>7464</v>
      </c>
      <c r="H475" s="8">
        <v>3146</v>
      </c>
      <c r="I475" s="8">
        <v>4182</v>
      </c>
      <c r="J475" s="19">
        <f t="shared" si="11"/>
        <v>4.3602448953122652E-2</v>
      </c>
      <c r="K475" s="9">
        <v>13.07</v>
      </c>
      <c r="L475" s="10">
        <f t="shared" si="7"/>
        <v>4.3602448953122652E-2</v>
      </c>
    </row>
    <row r="476" spans="1:12" ht="14.25" customHeight="1" x14ac:dyDescent="0.3">
      <c r="A476" s="6" t="s">
        <v>500</v>
      </c>
      <c r="B476" s="6" t="s">
        <v>16</v>
      </c>
      <c r="C476" s="7">
        <v>45478</v>
      </c>
      <c r="D476" s="6" t="s">
        <v>17</v>
      </c>
      <c r="E476" s="8">
        <v>8981</v>
      </c>
      <c r="F476" s="8">
        <v>3952</v>
      </c>
      <c r="G476" s="8">
        <v>155</v>
      </c>
      <c r="H476" s="8">
        <v>56</v>
      </c>
      <c r="I476" s="8">
        <v>27</v>
      </c>
      <c r="J476" s="19">
        <f t="shared" si="11"/>
        <v>2.6500389711613406E-2</v>
      </c>
      <c r="K476" s="9">
        <v>6.02</v>
      </c>
      <c r="L476" s="10">
        <f t="shared" si="7"/>
        <v>2.6500389711613406E-2</v>
      </c>
    </row>
    <row r="477" spans="1:12" ht="14.25" customHeight="1" x14ac:dyDescent="0.3">
      <c r="A477" s="6" t="s">
        <v>501</v>
      </c>
      <c r="B477" s="6" t="s">
        <v>19</v>
      </c>
      <c r="C477" s="7">
        <v>45573</v>
      </c>
      <c r="D477" s="6" t="s">
        <v>17</v>
      </c>
      <c r="E477" s="8">
        <v>21302</v>
      </c>
      <c r="F477" s="8">
        <v>13074</v>
      </c>
      <c r="G477" s="8">
        <v>295</v>
      </c>
      <c r="H477" s="8">
        <v>26</v>
      </c>
      <c r="I477" s="8">
        <v>71</v>
      </c>
      <c r="J477" s="19">
        <f t="shared" si="11"/>
        <v>1.8402027978593558E-2</v>
      </c>
      <c r="K477" s="9">
        <v>3</v>
      </c>
      <c r="L477" s="10">
        <f t="shared" si="7"/>
        <v>1.8402027978593558E-2</v>
      </c>
    </row>
    <row r="478" spans="1:12" ht="14.25" customHeight="1" x14ac:dyDescent="0.3">
      <c r="A478" s="6" t="s">
        <v>502</v>
      </c>
      <c r="B478" s="6" t="s">
        <v>16</v>
      </c>
      <c r="C478" s="7">
        <v>45563</v>
      </c>
      <c r="D478" s="6" t="s">
        <v>25</v>
      </c>
      <c r="E478" s="8">
        <v>69216</v>
      </c>
      <c r="F478" s="8">
        <v>42538</v>
      </c>
      <c r="G478" s="8">
        <v>1645</v>
      </c>
      <c r="H478" s="8">
        <v>611</v>
      </c>
      <c r="I478" s="8">
        <v>409</v>
      </c>
      <c r="J478" s="19">
        <f t="shared" si="11"/>
        <v>3.8502658344891354E-2</v>
      </c>
      <c r="K478" s="9">
        <v>6.26</v>
      </c>
      <c r="L478" s="10">
        <f t="shared" si="7"/>
        <v>3.8502658344891354E-2</v>
      </c>
    </row>
    <row r="479" spans="1:12" ht="14.25" customHeight="1" x14ac:dyDescent="0.3">
      <c r="A479" s="6" t="s">
        <v>503</v>
      </c>
      <c r="B479" s="6" t="s">
        <v>16</v>
      </c>
      <c r="C479" s="7">
        <v>45674</v>
      </c>
      <c r="D479" s="6" t="s">
        <v>23</v>
      </c>
      <c r="E479" s="8">
        <v>71167</v>
      </c>
      <c r="F479" s="8">
        <v>40636</v>
      </c>
      <c r="G479" s="8">
        <v>2428</v>
      </c>
      <c r="H479" s="8">
        <v>337</v>
      </c>
      <c r="I479" s="8">
        <v>81</v>
      </c>
      <c r="J479" s="19">
        <f t="shared" si="11"/>
        <v>3.9990445009625245E-2</v>
      </c>
      <c r="K479" s="9">
        <v>7</v>
      </c>
      <c r="L479" s="10">
        <f t="shared" si="7"/>
        <v>3.9990445009625245E-2</v>
      </c>
    </row>
    <row r="480" spans="1:12" ht="14.25" customHeight="1" x14ac:dyDescent="0.3">
      <c r="A480" s="6" t="s">
        <v>504</v>
      </c>
      <c r="B480" s="6" t="s">
        <v>30</v>
      </c>
      <c r="C480" s="7">
        <v>45626</v>
      </c>
      <c r="D480" s="6" t="s">
        <v>17</v>
      </c>
      <c r="E480" s="8">
        <v>4580</v>
      </c>
      <c r="F480" s="8">
        <v>2488</v>
      </c>
      <c r="G480" s="8">
        <v>77</v>
      </c>
      <c r="H480" s="8">
        <v>21</v>
      </c>
      <c r="I480" s="8">
        <v>30</v>
      </c>
      <c r="J480" s="19">
        <f t="shared" si="11"/>
        <v>2.794759825327511E-2</v>
      </c>
      <c r="K480" s="9">
        <v>5.14</v>
      </c>
      <c r="L480" s="10">
        <f t="shared" si="7"/>
        <v>2.794759825327511E-2</v>
      </c>
    </row>
    <row r="481" spans="1:12" ht="14.25" customHeight="1" x14ac:dyDescent="0.3">
      <c r="A481" s="6" t="s">
        <v>505</v>
      </c>
      <c r="B481" s="6" t="s">
        <v>16</v>
      </c>
      <c r="C481" s="7">
        <v>45538</v>
      </c>
      <c r="D481" s="6" t="s">
        <v>25</v>
      </c>
      <c r="E481" s="8">
        <v>25003</v>
      </c>
      <c r="F481" s="8">
        <v>12041</v>
      </c>
      <c r="G481" s="8">
        <v>780</v>
      </c>
      <c r="H481" s="8">
        <v>113</v>
      </c>
      <c r="I481" s="8">
        <v>55</v>
      </c>
      <c r="J481" s="19">
        <f t="shared" si="11"/>
        <v>3.7915450145982479E-2</v>
      </c>
      <c r="K481" s="9">
        <v>7.87</v>
      </c>
      <c r="L481" s="10">
        <f t="shared" si="7"/>
        <v>3.7915450145982479E-2</v>
      </c>
    </row>
    <row r="482" spans="1:12" ht="14.25" customHeight="1" x14ac:dyDescent="0.3">
      <c r="A482" s="6" t="s">
        <v>506</v>
      </c>
      <c r="B482" s="6" t="s">
        <v>16</v>
      </c>
      <c r="C482" s="7">
        <v>45547</v>
      </c>
      <c r="D482" s="6" t="s">
        <v>25</v>
      </c>
      <c r="E482" s="8">
        <v>69409</v>
      </c>
      <c r="F482" s="8">
        <v>29566</v>
      </c>
      <c r="G482" s="8">
        <v>1523</v>
      </c>
      <c r="H482" s="8">
        <v>290</v>
      </c>
      <c r="I482" s="8">
        <v>165</v>
      </c>
      <c r="J482" s="19">
        <f t="shared" si="11"/>
        <v>2.8497745249175178E-2</v>
      </c>
      <c r="K482" s="9">
        <v>6.69</v>
      </c>
      <c r="L482" s="10">
        <f t="shared" si="7"/>
        <v>2.8497745249175178E-2</v>
      </c>
    </row>
    <row r="483" spans="1:12" ht="14.25" customHeight="1" x14ac:dyDescent="0.3">
      <c r="A483" s="6" t="s">
        <v>507</v>
      </c>
      <c r="B483" s="6" t="s">
        <v>16</v>
      </c>
      <c r="C483" s="7">
        <v>45966</v>
      </c>
      <c r="D483" s="6" t="s">
        <v>23</v>
      </c>
      <c r="E483" s="8">
        <v>85888</v>
      </c>
      <c r="F483" s="8">
        <v>52026</v>
      </c>
      <c r="G483" s="8">
        <v>2347</v>
      </c>
      <c r="H483" s="8">
        <v>624</v>
      </c>
      <c r="I483" s="8">
        <v>135</v>
      </c>
      <c r="J483" s="19">
        <f t="shared" si="11"/>
        <v>3.616337555886736E-2</v>
      </c>
      <c r="K483" s="9">
        <v>5.97</v>
      </c>
      <c r="L483" s="10">
        <f t="shared" si="7"/>
        <v>3.616337555886736E-2</v>
      </c>
    </row>
    <row r="484" spans="1:12" ht="14.25" customHeight="1" x14ac:dyDescent="0.3">
      <c r="A484" s="6" t="s">
        <v>508</v>
      </c>
      <c r="B484" s="6" t="s">
        <v>16</v>
      </c>
      <c r="C484" s="7">
        <v>46002</v>
      </c>
      <c r="D484" s="6" t="s">
        <v>25</v>
      </c>
      <c r="E484" s="8">
        <v>60250</v>
      </c>
      <c r="F484" s="8">
        <v>31771</v>
      </c>
      <c r="G484" s="8">
        <v>1907</v>
      </c>
      <c r="H484" s="8">
        <v>219</v>
      </c>
      <c r="I484" s="8">
        <v>79</v>
      </c>
      <c r="J484" s="19">
        <f t="shared" si="11"/>
        <v>3.6597510373443984E-2</v>
      </c>
      <c r="K484" s="9">
        <v>6.94</v>
      </c>
      <c r="L484" s="10">
        <f t="shared" si="7"/>
        <v>3.6597510373443984E-2</v>
      </c>
    </row>
    <row r="485" spans="1:12" ht="14.25" customHeight="1" x14ac:dyDescent="0.3">
      <c r="A485" s="6" t="s">
        <v>509</v>
      </c>
      <c r="B485" s="6" t="s">
        <v>19</v>
      </c>
      <c r="C485" s="7">
        <v>45317</v>
      </c>
      <c r="D485" s="6" t="s">
        <v>14</v>
      </c>
      <c r="E485" s="8">
        <v>11412</v>
      </c>
      <c r="F485" s="8">
        <v>7912</v>
      </c>
      <c r="G485" s="8">
        <v>117</v>
      </c>
      <c r="H485" s="8">
        <v>23</v>
      </c>
      <c r="I485" s="8">
        <v>153</v>
      </c>
      <c r="J485" s="19">
        <f t="shared" si="11"/>
        <v>2.567472835611637E-2</v>
      </c>
      <c r="K485" s="9">
        <v>3.7</v>
      </c>
      <c r="L485" s="10">
        <f t="shared" si="7"/>
        <v>2.567472835611637E-2</v>
      </c>
    </row>
    <row r="486" spans="1:12" ht="14.25" customHeight="1" x14ac:dyDescent="0.3">
      <c r="A486" s="6" t="s">
        <v>510</v>
      </c>
      <c r="B486" s="6" t="s">
        <v>16</v>
      </c>
      <c r="C486" s="7">
        <v>45994</v>
      </c>
      <c r="D486" s="6" t="s">
        <v>17</v>
      </c>
      <c r="E486" s="8">
        <v>8581</v>
      </c>
      <c r="F486" s="8">
        <v>5323</v>
      </c>
      <c r="G486" s="8">
        <v>190</v>
      </c>
      <c r="H486" s="8">
        <v>14</v>
      </c>
      <c r="I486" s="8">
        <v>9</v>
      </c>
      <c r="J486" s="19">
        <f t="shared" si="11"/>
        <v>2.4822281785339705E-2</v>
      </c>
      <c r="K486" s="9">
        <v>4</v>
      </c>
      <c r="L486" s="10">
        <f t="shared" si="7"/>
        <v>2.4822281785339705E-2</v>
      </c>
    </row>
    <row r="487" spans="1:12" ht="14.25" customHeight="1" x14ac:dyDescent="0.3">
      <c r="A487" s="6" t="s">
        <v>511</v>
      </c>
      <c r="B487" s="6" t="s">
        <v>22</v>
      </c>
      <c r="C487" s="7">
        <v>45510</v>
      </c>
      <c r="D487" s="6" t="s">
        <v>23</v>
      </c>
      <c r="E487" s="8">
        <v>87881</v>
      </c>
      <c r="F487" s="8">
        <v>60405</v>
      </c>
      <c r="G487" s="8">
        <v>4517</v>
      </c>
      <c r="H487" s="8">
        <v>667</v>
      </c>
      <c r="I487" s="8">
        <v>1550</v>
      </c>
      <c r="J487" s="19">
        <f t="shared" si="11"/>
        <v>7.662634699195503E-2</v>
      </c>
      <c r="K487" s="9">
        <v>11.15</v>
      </c>
      <c r="L487" s="10">
        <f t="shared" si="7"/>
        <v>7.662634699195503E-2</v>
      </c>
    </row>
    <row r="488" spans="1:12" ht="14.25" customHeight="1" x14ac:dyDescent="0.3">
      <c r="A488" s="6" t="s">
        <v>512</v>
      </c>
      <c r="B488" s="6" t="s">
        <v>30</v>
      </c>
      <c r="C488" s="7">
        <v>45568</v>
      </c>
      <c r="D488" s="6" t="s">
        <v>20</v>
      </c>
      <c r="E488" s="8">
        <v>15417</v>
      </c>
      <c r="F488" s="8">
        <v>8696</v>
      </c>
      <c r="G488" s="8">
        <v>290</v>
      </c>
      <c r="H488" s="8">
        <v>111</v>
      </c>
      <c r="I488" s="8">
        <v>100</v>
      </c>
      <c r="J488" s="19">
        <f t="shared" si="11"/>
        <v>3.249659466822339E-2</v>
      </c>
      <c r="K488" s="9">
        <v>5.76</v>
      </c>
      <c r="L488" s="10">
        <f t="shared" si="7"/>
        <v>3.249659466822339E-2</v>
      </c>
    </row>
    <row r="489" spans="1:12" ht="14.25" customHeight="1" x14ac:dyDescent="0.3">
      <c r="A489" s="6" t="s">
        <v>513</v>
      </c>
      <c r="B489" s="6" t="s">
        <v>22</v>
      </c>
      <c r="C489" s="7">
        <v>45564</v>
      </c>
      <c r="D489" s="6" t="s">
        <v>23</v>
      </c>
      <c r="E489" s="8">
        <v>185847</v>
      </c>
      <c r="F489" s="8">
        <v>121043</v>
      </c>
      <c r="G489" s="8">
        <v>11183</v>
      </c>
      <c r="H489" s="8">
        <v>626</v>
      </c>
      <c r="I489" s="8">
        <v>3674</v>
      </c>
      <c r="J489" s="19">
        <f t="shared" si="11"/>
        <v>8.3310465059968683E-2</v>
      </c>
      <c r="K489" s="9">
        <v>12.79</v>
      </c>
      <c r="L489" s="10">
        <f t="shared" si="7"/>
        <v>8.3310465059968683E-2</v>
      </c>
    </row>
    <row r="490" spans="1:12" ht="14.25" customHeight="1" x14ac:dyDescent="0.3">
      <c r="A490" s="6" t="s">
        <v>514</v>
      </c>
      <c r="B490" s="6" t="s">
        <v>30</v>
      </c>
      <c r="C490" s="7">
        <v>45606</v>
      </c>
      <c r="D490" s="6" t="s">
        <v>14</v>
      </c>
      <c r="E490" s="8">
        <v>10745</v>
      </c>
      <c r="F490" s="8">
        <v>5956</v>
      </c>
      <c r="G490" s="8">
        <v>195</v>
      </c>
      <c r="H490" s="8">
        <v>89</v>
      </c>
      <c r="I490" s="8">
        <v>28</v>
      </c>
      <c r="J490" s="19">
        <f t="shared" si="11"/>
        <v>2.9036761284318289E-2</v>
      </c>
      <c r="K490" s="9">
        <v>5.24</v>
      </c>
      <c r="L490" s="10">
        <f t="shared" si="7"/>
        <v>2.9036761284318289E-2</v>
      </c>
    </row>
    <row r="491" spans="1:12" ht="14.25" customHeight="1" x14ac:dyDescent="0.3">
      <c r="A491" s="6" t="s">
        <v>515</v>
      </c>
      <c r="B491" s="6" t="s">
        <v>30</v>
      </c>
      <c r="C491" s="7">
        <v>45987</v>
      </c>
      <c r="D491" s="6" t="s">
        <v>17</v>
      </c>
      <c r="E491" s="8">
        <v>6513</v>
      </c>
      <c r="F491" s="8">
        <v>3382</v>
      </c>
      <c r="G491" s="8">
        <v>114</v>
      </c>
      <c r="H491" s="8">
        <v>52</v>
      </c>
      <c r="I491" s="8">
        <v>33</v>
      </c>
      <c r="J491" s="19">
        <f t="shared" si="11"/>
        <v>3.0554276063258098E-2</v>
      </c>
      <c r="K491" s="9">
        <v>5.88</v>
      </c>
      <c r="L491" s="10">
        <f t="shared" si="7"/>
        <v>3.0554276063258098E-2</v>
      </c>
    </row>
    <row r="492" spans="1:12" ht="14.25" customHeight="1" x14ac:dyDescent="0.3">
      <c r="A492" s="6" t="s">
        <v>516</v>
      </c>
      <c r="B492" s="6" t="s">
        <v>22</v>
      </c>
      <c r="C492" s="7">
        <v>45876</v>
      </c>
      <c r="D492" s="6" t="s">
        <v>23</v>
      </c>
      <c r="E492" s="8">
        <v>440564</v>
      </c>
      <c r="F492" s="8">
        <v>270609</v>
      </c>
      <c r="G492" s="8">
        <v>17877</v>
      </c>
      <c r="H492" s="8">
        <v>4340</v>
      </c>
      <c r="I492" s="8">
        <v>7584</v>
      </c>
      <c r="J492" s="19">
        <f t="shared" si="11"/>
        <v>6.7642839632834281E-2</v>
      </c>
      <c r="K492" s="9">
        <v>11.01</v>
      </c>
      <c r="L492" s="10">
        <f t="shared" si="7"/>
        <v>6.7642839632834281E-2</v>
      </c>
    </row>
    <row r="493" spans="1:12" ht="14.25" customHeight="1" x14ac:dyDescent="0.3">
      <c r="A493" s="6" t="s">
        <v>517</v>
      </c>
      <c r="B493" s="6" t="s">
        <v>22</v>
      </c>
      <c r="C493" s="7">
        <v>45442</v>
      </c>
      <c r="D493" s="6" t="s">
        <v>20</v>
      </c>
      <c r="E493" s="8">
        <v>322006</v>
      </c>
      <c r="F493" s="8">
        <v>167484</v>
      </c>
      <c r="G493" s="8">
        <v>9198</v>
      </c>
      <c r="H493" s="8">
        <v>4109</v>
      </c>
      <c r="I493" s="8">
        <v>6734</v>
      </c>
      <c r="J493" s="19">
        <f t="shared" si="11"/>
        <v>6.2237970721042465E-2</v>
      </c>
      <c r="K493" s="9">
        <v>11.97</v>
      </c>
      <c r="L493" s="10">
        <f t="shared" si="7"/>
        <v>6.2237970721042465E-2</v>
      </c>
    </row>
    <row r="494" spans="1:12" ht="14.25" customHeight="1" x14ac:dyDescent="0.3">
      <c r="A494" s="6" t="s">
        <v>518</v>
      </c>
      <c r="B494" s="6" t="s">
        <v>19</v>
      </c>
      <c r="C494" s="7">
        <v>45750</v>
      </c>
      <c r="D494" s="6" t="s">
        <v>17</v>
      </c>
      <c r="E494" s="8">
        <v>10767</v>
      </c>
      <c r="F494" s="8">
        <v>6348</v>
      </c>
      <c r="G494" s="8">
        <v>127</v>
      </c>
      <c r="H494" s="8">
        <v>7</v>
      </c>
      <c r="I494" s="8">
        <v>93</v>
      </c>
      <c r="J494" s="19">
        <f t="shared" si="11"/>
        <v>2.1082938608711806E-2</v>
      </c>
      <c r="K494" s="9">
        <v>3.58</v>
      </c>
      <c r="L494" s="10">
        <f t="shared" si="7"/>
        <v>2.1082938608711806E-2</v>
      </c>
    </row>
    <row r="495" spans="1:12" ht="14.25" customHeight="1" x14ac:dyDescent="0.3">
      <c r="A495" s="6" t="s">
        <v>519</v>
      </c>
      <c r="B495" s="6" t="s">
        <v>13</v>
      </c>
      <c r="C495" s="7">
        <v>45811</v>
      </c>
      <c r="D495" s="6" t="s">
        <v>20</v>
      </c>
      <c r="E495" s="8">
        <v>36770</v>
      </c>
      <c r="F495" s="8">
        <v>17441</v>
      </c>
      <c r="G495" s="8">
        <v>330</v>
      </c>
      <c r="H495" s="8">
        <v>230</v>
      </c>
      <c r="I495" s="8">
        <v>269</v>
      </c>
      <c r="J495" s="19">
        <f t="shared" si="11"/>
        <v>2.2545553440304598E-2</v>
      </c>
      <c r="K495" s="9">
        <v>4.75</v>
      </c>
      <c r="L495" s="10">
        <f t="shared" si="7"/>
        <v>2.2545553440304598E-2</v>
      </c>
    </row>
    <row r="496" spans="1:12" ht="14.25" customHeight="1" x14ac:dyDescent="0.3">
      <c r="A496" s="6" t="s">
        <v>520</v>
      </c>
      <c r="B496" s="6" t="s">
        <v>22</v>
      </c>
      <c r="C496" s="7">
        <v>45365</v>
      </c>
      <c r="D496" s="6" t="s">
        <v>20</v>
      </c>
      <c r="E496" s="8">
        <v>38055</v>
      </c>
      <c r="F496" s="8">
        <v>20035</v>
      </c>
      <c r="G496" s="8">
        <v>1623</v>
      </c>
      <c r="H496" s="8">
        <v>390</v>
      </c>
      <c r="I496" s="8">
        <v>207</v>
      </c>
      <c r="J496" s="19">
        <f t="shared" si="11"/>
        <v>5.8336618052818291E-2</v>
      </c>
      <c r="K496" s="9">
        <v>11.08</v>
      </c>
      <c r="L496" s="10">
        <f t="shared" si="7"/>
        <v>5.8336618052818291E-2</v>
      </c>
    </row>
    <row r="497" spans="1:12" ht="14.25" customHeight="1" x14ac:dyDescent="0.3">
      <c r="A497" s="6" t="s">
        <v>521</v>
      </c>
      <c r="B497" s="6" t="s">
        <v>16</v>
      </c>
      <c r="C497" s="7">
        <v>45580</v>
      </c>
      <c r="D497" s="6" t="s">
        <v>25</v>
      </c>
      <c r="E497" s="8">
        <v>51958</v>
      </c>
      <c r="F497" s="8">
        <v>30967</v>
      </c>
      <c r="G497" s="8">
        <v>878</v>
      </c>
      <c r="H497" s="8">
        <v>85</v>
      </c>
      <c r="I497" s="8">
        <v>54</v>
      </c>
      <c r="J497" s="19">
        <f t="shared" si="11"/>
        <v>1.9573501674429346E-2</v>
      </c>
      <c r="K497" s="9">
        <v>3.28</v>
      </c>
      <c r="L497" s="10">
        <f t="shared" si="7"/>
        <v>1.9573501674429346E-2</v>
      </c>
    </row>
    <row r="498" spans="1:12" ht="14.25" customHeight="1" x14ac:dyDescent="0.3">
      <c r="A498" s="6" t="s">
        <v>522</v>
      </c>
      <c r="B498" s="6" t="s">
        <v>16</v>
      </c>
      <c r="C498" s="7">
        <v>45731</v>
      </c>
      <c r="D498" s="6" t="s">
        <v>20</v>
      </c>
      <c r="E498" s="8">
        <v>36746</v>
      </c>
      <c r="F498" s="8">
        <v>20529</v>
      </c>
      <c r="G498" s="8">
        <v>1452</v>
      </c>
      <c r="H498" s="8">
        <v>156</v>
      </c>
      <c r="I498" s="8">
        <v>124</v>
      </c>
      <c r="J498" s="19">
        <f t="shared" si="11"/>
        <v>4.7134381973548141E-2</v>
      </c>
      <c r="K498" s="9">
        <v>8.44</v>
      </c>
      <c r="L498" s="10">
        <f t="shared" si="7"/>
        <v>4.7134381973548141E-2</v>
      </c>
    </row>
    <row r="499" spans="1:12" ht="14.25" customHeight="1" x14ac:dyDescent="0.3">
      <c r="A499" s="6" t="s">
        <v>523</v>
      </c>
      <c r="B499" s="6" t="s">
        <v>19</v>
      </c>
      <c r="C499" s="7">
        <v>45732</v>
      </c>
      <c r="D499" s="6" t="s">
        <v>20</v>
      </c>
      <c r="E499" s="8">
        <v>12875</v>
      </c>
      <c r="F499" s="8">
        <v>7526</v>
      </c>
      <c r="G499" s="8">
        <v>69</v>
      </c>
      <c r="H499" s="8">
        <v>19</v>
      </c>
      <c r="I499" s="8">
        <v>40</v>
      </c>
      <c r="J499" s="19">
        <f t="shared" si="11"/>
        <v>9.9417475728155336E-3</v>
      </c>
      <c r="K499" s="9">
        <v>1.7</v>
      </c>
      <c r="L499" s="10">
        <f t="shared" si="7"/>
        <v>9.9417475728155336E-3</v>
      </c>
    </row>
    <row r="500" spans="1:12" ht="14.25" customHeight="1" x14ac:dyDescent="0.3">
      <c r="A500" s="6" t="s">
        <v>524</v>
      </c>
      <c r="B500" s="6" t="s">
        <v>13</v>
      </c>
      <c r="C500" s="7">
        <v>45561</v>
      </c>
      <c r="D500" s="6" t="s">
        <v>20</v>
      </c>
      <c r="E500" s="8">
        <v>29909</v>
      </c>
      <c r="F500" s="8">
        <v>10936</v>
      </c>
      <c r="G500" s="8">
        <v>270</v>
      </c>
      <c r="H500" s="8">
        <v>106</v>
      </c>
      <c r="I500" s="8">
        <v>175</v>
      </c>
      <c r="J500" s="19">
        <f t="shared" si="11"/>
        <v>1.8422548396803639E-2</v>
      </c>
      <c r="K500" s="9">
        <v>5.04</v>
      </c>
      <c r="L500" s="10">
        <f t="shared" si="7"/>
        <v>1.8422548396803639E-2</v>
      </c>
    </row>
    <row r="501" spans="1:12" ht="14.25" customHeight="1" x14ac:dyDescent="0.3">
      <c r="A501" s="6" t="s">
        <v>525</v>
      </c>
      <c r="B501" s="6" t="s">
        <v>22</v>
      </c>
      <c r="C501" s="7">
        <v>45332</v>
      </c>
      <c r="D501" s="6" t="s">
        <v>23</v>
      </c>
      <c r="E501" s="8">
        <v>41256</v>
      </c>
      <c r="F501" s="8">
        <v>26399</v>
      </c>
      <c r="G501" s="8">
        <v>2930</v>
      </c>
      <c r="H501" s="8">
        <v>619</v>
      </c>
      <c r="I501" s="8">
        <v>480</v>
      </c>
      <c r="J501" s="19">
        <f t="shared" si="11"/>
        <v>9.7658522396742289E-2</v>
      </c>
      <c r="K501" s="9">
        <v>15.26</v>
      </c>
      <c r="L501" s="10">
        <f t="shared" si="7"/>
        <v>9.7658522396742289E-2</v>
      </c>
    </row>
    <row r="502" spans="1:12" ht="14.25" customHeight="1" x14ac:dyDescent="0.3">
      <c r="A502" s="6" t="s">
        <v>526</v>
      </c>
      <c r="B502" s="6" t="s">
        <v>30</v>
      </c>
      <c r="C502" s="7">
        <v>45733</v>
      </c>
      <c r="D502" s="6" t="s">
        <v>25</v>
      </c>
      <c r="E502" s="8">
        <v>9610</v>
      </c>
      <c r="F502" s="8">
        <v>7236</v>
      </c>
      <c r="G502" s="8">
        <v>115</v>
      </c>
      <c r="H502" s="8">
        <v>116</v>
      </c>
      <c r="I502" s="8">
        <v>68</v>
      </c>
      <c r="J502" s="19">
        <f t="shared" si="11"/>
        <v>3.1113423517169614E-2</v>
      </c>
      <c r="K502" s="9">
        <v>4.13</v>
      </c>
      <c r="L502" s="10">
        <f t="shared" si="7"/>
        <v>3.1113423517169614E-2</v>
      </c>
    </row>
    <row r="503" spans="1:12" ht="14.25" customHeight="1" x14ac:dyDescent="0.3">
      <c r="A503" s="6" t="s">
        <v>527</v>
      </c>
      <c r="B503" s="6" t="s">
        <v>19</v>
      </c>
      <c r="C503" s="7">
        <v>45667</v>
      </c>
      <c r="D503" s="6" t="s">
        <v>17</v>
      </c>
      <c r="E503" s="8">
        <v>3755</v>
      </c>
      <c r="F503" s="8">
        <v>2372</v>
      </c>
      <c r="G503" s="8">
        <v>62</v>
      </c>
      <c r="H503" s="8">
        <v>6</v>
      </c>
      <c r="I503" s="8">
        <v>5</v>
      </c>
      <c r="J503" s="19">
        <f t="shared" si="11"/>
        <v>1.9440745672436751E-2</v>
      </c>
      <c r="K503" s="9">
        <v>3.08</v>
      </c>
      <c r="L503" s="10">
        <f t="shared" si="7"/>
        <v>1.9440745672436751E-2</v>
      </c>
    </row>
    <row r="504" spans="1:12" ht="14.25" customHeight="1" x14ac:dyDescent="0.3">
      <c r="A504" s="6" t="s">
        <v>528</v>
      </c>
      <c r="B504" s="6" t="s">
        <v>30</v>
      </c>
      <c r="C504" s="7">
        <v>45765</v>
      </c>
      <c r="D504" s="6" t="s">
        <v>20</v>
      </c>
      <c r="E504" s="8">
        <v>38598</v>
      </c>
      <c r="F504" s="8">
        <v>19145</v>
      </c>
      <c r="G504" s="8">
        <v>389</v>
      </c>
      <c r="H504" s="8">
        <v>219</v>
      </c>
      <c r="I504" s="8">
        <v>243</v>
      </c>
      <c r="J504" s="19">
        <f t="shared" si="11"/>
        <v>2.2047774496087882E-2</v>
      </c>
      <c r="K504" s="9">
        <v>4.45</v>
      </c>
      <c r="L504" s="10">
        <f t="shared" si="7"/>
        <v>2.2047774496087882E-2</v>
      </c>
    </row>
    <row r="505" spans="1:12" ht="14.25" customHeight="1" x14ac:dyDescent="0.3">
      <c r="A505" s="6" t="s">
        <v>529</v>
      </c>
      <c r="B505" s="6" t="s">
        <v>30</v>
      </c>
      <c r="C505" s="7">
        <v>45705</v>
      </c>
      <c r="D505" s="6" t="s">
        <v>17</v>
      </c>
      <c r="E505" s="8">
        <v>10726</v>
      </c>
      <c r="F505" s="8">
        <v>6896</v>
      </c>
      <c r="G505" s="8">
        <v>193</v>
      </c>
      <c r="H505" s="8">
        <v>102</v>
      </c>
      <c r="I505" s="8">
        <v>93</v>
      </c>
      <c r="J505" s="19">
        <f t="shared" si="11"/>
        <v>3.6173783330225619E-2</v>
      </c>
      <c r="K505" s="9">
        <v>5.63</v>
      </c>
      <c r="L505" s="10">
        <f t="shared" si="7"/>
        <v>3.6173783330225619E-2</v>
      </c>
    </row>
    <row r="506" spans="1:12" ht="14.25" customHeight="1" x14ac:dyDescent="0.3">
      <c r="A506" s="6" t="s">
        <v>530</v>
      </c>
      <c r="B506" s="6" t="s">
        <v>13</v>
      </c>
      <c r="C506" s="7">
        <v>45793</v>
      </c>
      <c r="D506" s="6" t="s">
        <v>25</v>
      </c>
      <c r="E506" s="8">
        <v>37289</v>
      </c>
      <c r="F506" s="8">
        <v>16958</v>
      </c>
      <c r="G506" s="8">
        <v>800</v>
      </c>
      <c r="H506" s="8">
        <v>75</v>
      </c>
      <c r="I506" s="8">
        <v>162</v>
      </c>
      <c r="J506" s="19">
        <f t="shared" si="11"/>
        <v>2.7809809863498618E-2</v>
      </c>
      <c r="K506" s="9">
        <v>6.12</v>
      </c>
      <c r="L506" s="10">
        <f t="shared" si="7"/>
        <v>2.7809809863498618E-2</v>
      </c>
    </row>
    <row r="507" spans="1:12" ht="14.25" customHeight="1" x14ac:dyDescent="0.3">
      <c r="A507" s="6" t="s">
        <v>531</v>
      </c>
      <c r="B507" s="6" t="s">
        <v>30</v>
      </c>
      <c r="C507" s="7">
        <v>45480</v>
      </c>
      <c r="D507" s="6" t="s">
        <v>20</v>
      </c>
      <c r="E507" s="8">
        <v>20670</v>
      </c>
      <c r="F507" s="8">
        <v>15492</v>
      </c>
      <c r="G507" s="8">
        <v>592</v>
      </c>
      <c r="H507" s="8">
        <v>292</v>
      </c>
      <c r="I507" s="8">
        <v>224</v>
      </c>
      <c r="J507" s="19">
        <f t="shared" si="11"/>
        <v>5.3604257377842281E-2</v>
      </c>
      <c r="K507" s="9">
        <v>7.15</v>
      </c>
      <c r="L507" s="10">
        <f t="shared" si="7"/>
        <v>5.3604257377842281E-2</v>
      </c>
    </row>
    <row r="508" spans="1:12" ht="14.25" customHeight="1" x14ac:dyDescent="0.3">
      <c r="A508" s="6" t="s">
        <v>532</v>
      </c>
      <c r="B508" s="6" t="s">
        <v>13</v>
      </c>
      <c r="C508" s="7">
        <v>45605</v>
      </c>
      <c r="D508" s="6" t="s">
        <v>20</v>
      </c>
      <c r="E508" s="8">
        <v>30297</v>
      </c>
      <c r="F508" s="8">
        <v>12985</v>
      </c>
      <c r="G508" s="8">
        <v>141</v>
      </c>
      <c r="H508" s="8">
        <v>45</v>
      </c>
      <c r="I508" s="8">
        <v>217</v>
      </c>
      <c r="J508" s="19">
        <f t="shared" si="11"/>
        <v>1.3301647027758524E-2</v>
      </c>
      <c r="K508" s="9">
        <v>3.1</v>
      </c>
      <c r="L508" s="10">
        <f t="shared" si="7"/>
        <v>1.3301647027758524E-2</v>
      </c>
    </row>
    <row r="509" spans="1:12" ht="14.25" customHeight="1" x14ac:dyDescent="0.3">
      <c r="A509" s="6" t="s">
        <v>533</v>
      </c>
      <c r="B509" s="6" t="s">
        <v>16</v>
      </c>
      <c r="C509" s="7">
        <v>45912</v>
      </c>
      <c r="D509" s="6" t="s">
        <v>25</v>
      </c>
      <c r="E509" s="8">
        <v>34183</v>
      </c>
      <c r="F509" s="8">
        <v>19575</v>
      </c>
      <c r="G509" s="8">
        <v>1510</v>
      </c>
      <c r="H509" s="8">
        <v>101</v>
      </c>
      <c r="I509" s="8">
        <v>112</v>
      </c>
      <c r="J509" s="19">
        <f t="shared" si="11"/>
        <v>5.0405172161600793E-2</v>
      </c>
      <c r="K509" s="9">
        <v>8.8000000000000007</v>
      </c>
      <c r="L509" s="10">
        <f t="shared" si="7"/>
        <v>5.0405172161600793E-2</v>
      </c>
    </row>
    <row r="510" spans="1:12" ht="14.25" customHeight="1" x14ac:dyDescent="0.3">
      <c r="A510" s="6" t="s">
        <v>534</v>
      </c>
      <c r="B510" s="6" t="s">
        <v>16</v>
      </c>
      <c r="C510" s="7">
        <v>46019</v>
      </c>
      <c r="D510" s="6" t="s">
        <v>17</v>
      </c>
      <c r="E510" s="8">
        <v>44261</v>
      </c>
      <c r="F510" s="8">
        <v>21082</v>
      </c>
      <c r="G510" s="8">
        <v>1483</v>
      </c>
      <c r="H510" s="8">
        <v>251</v>
      </c>
      <c r="I510" s="8">
        <v>161</v>
      </c>
      <c r="J510" s="19">
        <f t="shared" si="11"/>
        <v>4.2814215675199385E-2</v>
      </c>
      <c r="K510" s="9">
        <v>8.99</v>
      </c>
      <c r="L510" s="10">
        <f t="shared" si="7"/>
        <v>4.2814215675199385E-2</v>
      </c>
    </row>
    <row r="511" spans="1:12" ht="14.25" customHeight="1" x14ac:dyDescent="0.3">
      <c r="A511" s="6" t="s">
        <v>535</v>
      </c>
      <c r="B511" s="6" t="s">
        <v>13</v>
      </c>
      <c r="C511" s="7">
        <v>45926</v>
      </c>
      <c r="D511" s="6" t="s">
        <v>20</v>
      </c>
      <c r="E511" s="8">
        <v>57188</v>
      </c>
      <c r="F511" s="8">
        <v>26556</v>
      </c>
      <c r="G511" s="8">
        <v>923</v>
      </c>
      <c r="H511" s="8">
        <v>355</v>
      </c>
      <c r="I511" s="8">
        <v>613</v>
      </c>
      <c r="J511" s="19">
        <f t="shared" si="11"/>
        <v>3.3066377561726236E-2</v>
      </c>
      <c r="K511" s="9">
        <v>7.12</v>
      </c>
      <c r="L511" s="10">
        <f t="shared" si="7"/>
        <v>3.3066377561726236E-2</v>
      </c>
    </row>
    <row r="512" spans="1:12" ht="14.25" customHeight="1" x14ac:dyDescent="0.3">
      <c r="A512" s="6" t="s">
        <v>536</v>
      </c>
      <c r="B512" s="6" t="s">
        <v>16</v>
      </c>
      <c r="C512" s="7">
        <v>45820</v>
      </c>
      <c r="D512" s="6" t="s">
        <v>17</v>
      </c>
      <c r="E512" s="8">
        <v>18096</v>
      </c>
      <c r="F512" s="8">
        <v>11803</v>
      </c>
      <c r="G512" s="8">
        <v>328</v>
      </c>
      <c r="H512" s="8">
        <v>41</v>
      </c>
      <c r="I512" s="8">
        <v>25</v>
      </c>
      <c r="J512" s="19">
        <f t="shared" si="11"/>
        <v>2.1772767462422633E-2</v>
      </c>
      <c r="K512" s="9">
        <v>3.34</v>
      </c>
      <c r="L512" s="10">
        <f t="shared" ref="L512:L766" si="12">(G512+H512+I512)/E512</f>
        <v>2.1772767462422633E-2</v>
      </c>
    </row>
    <row r="513" spans="1:12" ht="14.25" customHeight="1" x14ac:dyDescent="0.3">
      <c r="A513" s="6" t="s">
        <v>537</v>
      </c>
      <c r="B513" s="6" t="s">
        <v>19</v>
      </c>
      <c r="C513" s="7">
        <v>45761</v>
      </c>
      <c r="D513" s="6" t="s">
        <v>20</v>
      </c>
      <c r="E513" s="8">
        <v>24711</v>
      </c>
      <c r="F513" s="8">
        <v>15214</v>
      </c>
      <c r="G513" s="8">
        <v>386</v>
      </c>
      <c r="H513" s="8">
        <v>35</v>
      </c>
      <c r="I513" s="8">
        <v>158</v>
      </c>
      <c r="J513" s="19">
        <f t="shared" si="11"/>
        <v>2.3430860750273157E-2</v>
      </c>
      <c r="K513" s="9">
        <v>3.81</v>
      </c>
      <c r="L513" s="10">
        <f t="shared" si="12"/>
        <v>2.3430860750273157E-2</v>
      </c>
    </row>
    <row r="514" spans="1:12" ht="14.25" customHeight="1" x14ac:dyDescent="0.3">
      <c r="A514" s="6" t="s">
        <v>538</v>
      </c>
      <c r="B514" s="6" t="s">
        <v>19</v>
      </c>
      <c r="C514" s="7">
        <v>45773</v>
      </c>
      <c r="D514" s="6" t="s">
        <v>14</v>
      </c>
      <c r="E514" s="8">
        <v>6773</v>
      </c>
      <c r="F514" s="8">
        <v>4868</v>
      </c>
      <c r="G514" s="8">
        <v>133</v>
      </c>
      <c r="H514" s="8">
        <v>13</v>
      </c>
      <c r="I514" s="8">
        <v>28</v>
      </c>
      <c r="J514" s="19">
        <f t="shared" si="11"/>
        <v>2.5690240661449874E-2</v>
      </c>
      <c r="K514" s="9">
        <v>3.57</v>
      </c>
      <c r="L514" s="10">
        <f t="shared" si="12"/>
        <v>2.5690240661449874E-2</v>
      </c>
    </row>
    <row r="515" spans="1:12" ht="14.25" customHeight="1" x14ac:dyDescent="0.3">
      <c r="A515" s="6" t="s">
        <v>539</v>
      </c>
      <c r="B515" s="6" t="s">
        <v>16</v>
      </c>
      <c r="C515" s="7">
        <v>45360</v>
      </c>
      <c r="D515" s="6" t="s">
        <v>17</v>
      </c>
      <c r="E515" s="8">
        <v>16541</v>
      </c>
      <c r="F515" s="8">
        <v>9250</v>
      </c>
      <c r="G515" s="8">
        <v>646</v>
      </c>
      <c r="H515" s="8">
        <v>112</v>
      </c>
      <c r="I515" s="8">
        <v>57</v>
      </c>
      <c r="J515" s="19">
        <f t="shared" ref="J515:J578" si="13">(G515+H515+I515)/E515</f>
        <v>4.9271507164016688E-2</v>
      </c>
      <c r="K515" s="9">
        <v>8.81</v>
      </c>
      <c r="L515" s="10">
        <f t="shared" si="12"/>
        <v>4.9271507164016688E-2</v>
      </c>
    </row>
    <row r="516" spans="1:12" ht="14.25" customHeight="1" x14ac:dyDescent="0.3">
      <c r="A516" s="6" t="s">
        <v>540</v>
      </c>
      <c r="B516" s="6" t="s">
        <v>22</v>
      </c>
      <c r="C516" s="7">
        <v>45660</v>
      </c>
      <c r="D516" s="6" t="s">
        <v>20</v>
      </c>
      <c r="E516" s="8">
        <v>237159</v>
      </c>
      <c r="F516" s="8">
        <v>128305</v>
      </c>
      <c r="G516" s="8">
        <v>14732</v>
      </c>
      <c r="H516" s="8">
        <v>2455</v>
      </c>
      <c r="I516" s="8">
        <v>2936</v>
      </c>
      <c r="J516" s="19">
        <f t="shared" si="13"/>
        <v>8.4850248145758755E-2</v>
      </c>
      <c r="K516" s="9">
        <v>15.68</v>
      </c>
      <c r="L516" s="10">
        <f t="shared" si="12"/>
        <v>8.4850248145758755E-2</v>
      </c>
    </row>
    <row r="517" spans="1:12" ht="14.25" customHeight="1" x14ac:dyDescent="0.3">
      <c r="A517" s="6" t="s">
        <v>541</v>
      </c>
      <c r="B517" s="6" t="s">
        <v>16</v>
      </c>
      <c r="C517" s="7">
        <v>45732</v>
      </c>
      <c r="D517" s="6" t="s">
        <v>17</v>
      </c>
      <c r="E517" s="8">
        <v>14887</v>
      </c>
      <c r="F517" s="8">
        <v>8575</v>
      </c>
      <c r="G517" s="8">
        <v>514</v>
      </c>
      <c r="H517" s="8">
        <v>33</v>
      </c>
      <c r="I517" s="8">
        <v>64</v>
      </c>
      <c r="J517" s="19">
        <f t="shared" si="13"/>
        <v>4.1042520319742058E-2</v>
      </c>
      <c r="K517" s="9">
        <v>7.13</v>
      </c>
      <c r="L517" s="10">
        <f t="shared" si="12"/>
        <v>4.1042520319742058E-2</v>
      </c>
    </row>
    <row r="518" spans="1:12" ht="14.25" customHeight="1" x14ac:dyDescent="0.3">
      <c r="A518" s="6" t="s">
        <v>542</v>
      </c>
      <c r="B518" s="6" t="s">
        <v>16</v>
      </c>
      <c r="C518" s="7">
        <v>45305</v>
      </c>
      <c r="D518" s="6" t="s">
        <v>25</v>
      </c>
      <c r="E518" s="8">
        <v>11666</v>
      </c>
      <c r="F518" s="8">
        <v>8813</v>
      </c>
      <c r="G518" s="8">
        <v>694</v>
      </c>
      <c r="H518" s="8">
        <v>84</v>
      </c>
      <c r="I518" s="8">
        <v>32</v>
      </c>
      <c r="J518" s="19">
        <f t="shared" si="13"/>
        <v>6.9432539002228705E-2</v>
      </c>
      <c r="K518" s="9">
        <v>9.19</v>
      </c>
      <c r="L518" s="10">
        <f t="shared" si="12"/>
        <v>6.9432539002228705E-2</v>
      </c>
    </row>
    <row r="519" spans="1:12" ht="14.25" customHeight="1" x14ac:dyDescent="0.3">
      <c r="A519" s="6" t="s">
        <v>543</v>
      </c>
      <c r="B519" s="6" t="s">
        <v>16</v>
      </c>
      <c r="C519" s="7">
        <v>45318</v>
      </c>
      <c r="D519" s="6" t="s">
        <v>20</v>
      </c>
      <c r="E519" s="8">
        <v>14544</v>
      </c>
      <c r="F519" s="8">
        <v>7587</v>
      </c>
      <c r="G519" s="8">
        <v>486</v>
      </c>
      <c r="H519" s="8">
        <v>111</v>
      </c>
      <c r="I519" s="8">
        <v>57</v>
      </c>
      <c r="J519" s="19">
        <f t="shared" si="13"/>
        <v>4.496699669966997E-2</v>
      </c>
      <c r="K519" s="9">
        <v>8.6199999999999992</v>
      </c>
      <c r="L519" s="10">
        <f t="shared" si="12"/>
        <v>4.496699669966997E-2</v>
      </c>
    </row>
    <row r="520" spans="1:12" ht="14.25" customHeight="1" x14ac:dyDescent="0.3">
      <c r="A520" s="6" t="s">
        <v>544</v>
      </c>
      <c r="B520" s="6" t="s">
        <v>13</v>
      </c>
      <c r="C520" s="7">
        <v>45741</v>
      </c>
      <c r="D520" s="6" t="s">
        <v>20</v>
      </c>
      <c r="E520" s="8">
        <v>58879</v>
      </c>
      <c r="F520" s="8">
        <v>23183</v>
      </c>
      <c r="G520" s="8">
        <v>884</v>
      </c>
      <c r="H520" s="8">
        <v>413</v>
      </c>
      <c r="I520" s="8">
        <v>186</v>
      </c>
      <c r="J520" s="19">
        <f t="shared" si="13"/>
        <v>2.5187248424735475E-2</v>
      </c>
      <c r="K520" s="9">
        <v>6.4</v>
      </c>
      <c r="L520" s="10">
        <f t="shared" si="12"/>
        <v>2.5187248424735475E-2</v>
      </c>
    </row>
    <row r="521" spans="1:12" ht="14.25" customHeight="1" x14ac:dyDescent="0.3">
      <c r="A521" s="6" t="s">
        <v>545</v>
      </c>
      <c r="B521" s="6" t="s">
        <v>30</v>
      </c>
      <c r="C521" s="7">
        <v>45633</v>
      </c>
      <c r="D521" s="6" t="s">
        <v>14</v>
      </c>
      <c r="E521" s="8">
        <v>12952</v>
      </c>
      <c r="F521" s="8">
        <v>9872</v>
      </c>
      <c r="G521" s="8">
        <v>429</v>
      </c>
      <c r="H521" s="8">
        <v>183</v>
      </c>
      <c r="I521" s="8">
        <v>32</v>
      </c>
      <c r="J521" s="19">
        <f t="shared" si="13"/>
        <v>4.9722050648548489E-2</v>
      </c>
      <c r="K521" s="9">
        <v>6.52</v>
      </c>
      <c r="L521" s="10">
        <f t="shared" si="12"/>
        <v>4.9722050648548489E-2</v>
      </c>
    </row>
    <row r="522" spans="1:12" ht="14.25" customHeight="1" x14ac:dyDescent="0.3">
      <c r="A522" s="6" t="s">
        <v>546</v>
      </c>
      <c r="B522" s="6" t="s">
        <v>16</v>
      </c>
      <c r="C522" s="7">
        <v>45915</v>
      </c>
      <c r="D522" s="6" t="s">
        <v>25</v>
      </c>
      <c r="E522" s="8">
        <v>58263</v>
      </c>
      <c r="F522" s="8">
        <v>25374</v>
      </c>
      <c r="G522" s="8">
        <v>811</v>
      </c>
      <c r="H522" s="8">
        <v>348</v>
      </c>
      <c r="I522" s="8">
        <v>67</v>
      </c>
      <c r="J522" s="19">
        <f t="shared" si="13"/>
        <v>2.1042514117021092E-2</v>
      </c>
      <c r="K522" s="9">
        <v>4.83</v>
      </c>
      <c r="L522" s="10">
        <f t="shared" si="12"/>
        <v>2.1042514117021092E-2</v>
      </c>
    </row>
    <row r="523" spans="1:12" ht="14.25" customHeight="1" x14ac:dyDescent="0.3">
      <c r="A523" s="6" t="s">
        <v>547</v>
      </c>
      <c r="B523" s="6" t="s">
        <v>16</v>
      </c>
      <c r="C523" s="7">
        <v>45947</v>
      </c>
      <c r="D523" s="6" t="s">
        <v>20</v>
      </c>
      <c r="E523" s="8">
        <v>79853</v>
      </c>
      <c r="F523" s="8">
        <v>53928</v>
      </c>
      <c r="G523" s="8">
        <v>1857</v>
      </c>
      <c r="H523" s="8">
        <v>481</v>
      </c>
      <c r="I523" s="8">
        <v>443</v>
      </c>
      <c r="J523" s="19">
        <f t="shared" si="13"/>
        <v>3.4826493682140934E-2</v>
      </c>
      <c r="K523" s="9">
        <v>5.16</v>
      </c>
      <c r="L523" s="10">
        <f t="shared" si="12"/>
        <v>3.4826493682140934E-2</v>
      </c>
    </row>
    <row r="524" spans="1:12" ht="14.25" customHeight="1" x14ac:dyDescent="0.3">
      <c r="A524" s="6" t="s">
        <v>548</v>
      </c>
      <c r="B524" s="6" t="s">
        <v>13</v>
      </c>
      <c r="C524" s="7">
        <v>45383</v>
      </c>
      <c r="D524" s="6" t="s">
        <v>25</v>
      </c>
      <c r="E524" s="8">
        <v>7562</v>
      </c>
      <c r="F524" s="8">
        <v>4153</v>
      </c>
      <c r="G524" s="8">
        <v>57</v>
      </c>
      <c r="H524" s="8">
        <v>55</v>
      </c>
      <c r="I524" s="8">
        <v>51</v>
      </c>
      <c r="J524" s="19">
        <f t="shared" si="13"/>
        <v>2.1555144141761438E-2</v>
      </c>
      <c r="K524" s="9">
        <v>3.92</v>
      </c>
      <c r="L524" s="10">
        <f t="shared" si="12"/>
        <v>2.1555144141761438E-2</v>
      </c>
    </row>
    <row r="525" spans="1:12" ht="14.25" customHeight="1" x14ac:dyDescent="0.3">
      <c r="A525" s="6" t="s">
        <v>549</v>
      </c>
      <c r="B525" s="6" t="s">
        <v>22</v>
      </c>
      <c r="C525" s="7">
        <v>45791</v>
      </c>
      <c r="D525" s="6" t="s">
        <v>23</v>
      </c>
      <c r="E525" s="8">
        <v>85442</v>
      </c>
      <c r="F525" s="8">
        <v>26782</v>
      </c>
      <c r="G525" s="8">
        <v>1735</v>
      </c>
      <c r="H525" s="8">
        <v>170</v>
      </c>
      <c r="I525" s="8">
        <v>785</v>
      </c>
      <c r="J525" s="19">
        <f t="shared" si="13"/>
        <v>3.1483345427307415E-2</v>
      </c>
      <c r="K525" s="9">
        <v>10.039999999999999</v>
      </c>
      <c r="L525" s="10">
        <f t="shared" si="12"/>
        <v>3.1483345427307415E-2</v>
      </c>
    </row>
    <row r="526" spans="1:12" ht="14.25" customHeight="1" x14ac:dyDescent="0.3">
      <c r="A526" s="6" t="s">
        <v>550</v>
      </c>
      <c r="B526" s="6" t="s">
        <v>16</v>
      </c>
      <c r="C526" s="7">
        <v>45784</v>
      </c>
      <c r="D526" s="6" t="s">
        <v>23</v>
      </c>
      <c r="E526" s="8">
        <v>92991</v>
      </c>
      <c r="F526" s="8">
        <v>71950</v>
      </c>
      <c r="G526" s="8">
        <v>2726</v>
      </c>
      <c r="H526" s="8">
        <v>804</v>
      </c>
      <c r="I526" s="8">
        <v>495</v>
      </c>
      <c r="J526" s="19">
        <f t="shared" si="13"/>
        <v>4.3283758643309571E-2</v>
      </c>
      <c r="K526" s="9">
        <v>5.59</v>
      </c>
      <c r="L526" s="10">
        <f t="shared" si="12"/>
        <v>4.3283758643309571E-2</v>
      </c>
    </row>
    <row r="527" spans="1:12" ht="14.25" customHeight="1" x14ac:dyDescent="0.3">
      <c r="A527" s="6" t="s">
        <v>551</v>
      </c>
      <c r="B527" s="6" t="s">
        <v>22</v>
      </c>
      <c r="C527" s="7">
        <v>45587</v>
      </c>
      <c r="D527" s="6" t="s">
        <v>23</v>
      </c>
      <c r="E527" s="8">
        <v>301112</v>
      </c>
      <c r="F527" s="8">
        <v>200204</v>
      </c>
      <c r="G527" s="8">
        <v>8580</v>
      </c>
      <c r="H527" s="8">
        <v>5836</v>
      </c>
      <c r="I527" s="8">
        <v>9983</v>
      </c>
      <c r="J527" s="19">
        <f t="shared" si="13"/>
        <v>8.1029650096973882E-2</v>
      </c>
      <c r="K527" s="9">
        <v>12.19</v>
      </c>
      <c r="L527" s="10">
        <f t="shared" si="12"/>
        <v>8.1029650096973882E-2</v>
      </c>
    </row>
    <row r="528" spans="1:12" ht="14.25" customHeight="1" x14ac:dyDescent="0.3">
      <c r="A528" s="6" t="s">
        <v>552</v>
      </c>
      <c r="B528" s="6" t="s">
        <v>13</v>
      </c>
      <c r="C528" s="7">
        <v>45811</v>
      </c>
      <c r="D528" s="6" t="s">
        <v>20</v>
      </c>
      <c r="E528" s="8">
        <v>34405</v>
      </c>
      <c r="F528" s="8">
        <v>22484</v>
      </c>
      <c r="G528" s="8">
        <v>344</v>
      </c>
      <c r="H528" s="8">
        <v>407</v>
      </c>
      <c r="I528" s="8">
        <v>636</v>
      </c>
      <c r="J528" s="19">
        <f t="shared" si="13"/>
        <v>4.0313907862229326E-2</v>
      </c>
      <c r="K528" s="9">
        <v>6.17</v>
      </c>
      <c r="L528" s="10">
        <f t="shared" si="12"/>
        <v>4.0313907862229326E-2</v>
      </c>
    </row>
    <row r="529" spans="1:12" ht="14.25" customHeight="1" x14ac:dyDescent="0.3">
      <c r="A529" s="6" t="s">
        <v>553</v>
      </c>
      <c r="B529" s="6" t="s">
        <v>13</v>
      </c>
      <c r="C529" s="7">
        <v>45952</v>
      </c>
      <c r="D529" s="6" t="s">
        <v>20</v>
      </c>
      <c r="E529" s="8">
        <v>731</v>
      </c>
      <c r="F529" s="8">
        <v>238</v>
      </c>
      <c r="G529" s="8">
        <v>8</v>
      </c>
      <c r="H529" s="8">
        <v>2</v>
      </c>
      <c r="I529" s="8">
        <v>4</v>
      </c>
      <c r="J529" s="19">
        <f t="shared" si="13"/>
        <v>1.9151846785225718E-2</v>
      </c>
      <c r="K529" s="9">
        <v>5.88</v>
      </c>
      <c r="L529" s="10">
        <f t="shared" si="12"/>
        <v>1.9151846785225718E-2</v>
      </c>
    </row>
    <row r="530" spans="1:12" ht="14.25" customHeight="1" x14ac:dyDescent="0.3">
      <c r="A530" s="6" t="s">
        <v>554</v>
      </c>
      <c r="B530" s="6" t="s">
        <v>22</v>
      </c>
      <c r="C530" s="7">
        <v>45814</v>
      </c>
      <c r="D530" s="6" t="s">
        <v>20</v>
      </c>
      <c r="E530" s="8">
        <v>120386</v>
      </c>
      <c r="F530" s="8">
        <v>56351</v>
      </c>
      <c r="G530" s="8">
        <v>5671</v>
      </c>
      <c r="H530" s="8">
        <v>479</v>
      </c>
      <c r="I530" s="8">
        <v>2188</v>
      </c>
      <c r="J530" s="19">
        <f t="shared" si="13"/>
        <v>6.926054524612496E-2</v>
      </c>
      <c r="K530" s="9">
        <v>14.8</v>
      </c>
      <c r="L530" s="10">
        <f t="shared" si="12"/>
        <v>6.926054524612496E-2</v>
      </c>
    </row>
    <row r="531" spans="1:12" ht="14.25" customHeight="1" x14ac:dyDescent="0.3">
      <c r="A531" s="6" t="s">
        <v>555</v>
      </c>
      <c r="B531" s="6" t="s">
        <v>16</v>
      </c>
      <c r="C531" s="7">
        <v>45538</v>
      </c>
      <c r="D531" s="6" t="s">
        <v>20</v>
      </c>
      <c r="E531" s="8">
        <v>62072</v>
      </c>
      <c r="F531" s="8">
        <v>27597</v>
      </c>
      <c r="G531" s="8">
        <v>1429</v>
      </c>
      <c r="H531" s="8">
        <v>260</v>
      </c>
      <c r="I531" s="8">
        <v>97</v>
      </c>
      <c r="J531" s="19">
        <f t="shared" si="13"/>
        <v>2.8773037762598274E-2</v>
      </c>
      <c r="K531" s="9">
        <v>6.47</v>
      </c>
      <c r="L531" s="10">
        <f t="shared" si="12"/>
        <v>2.8773037762598274E-2</v>
      </c>
    </row>
    <row r="532" spans="1:12" ht="14.25" customHeight="1" x14ac:dyDescent="0.3">
      <c r="A532" s="6" t="s">
        <v>556</v>
      </c>
      <c r="B532" s="6" t="s">
        <v>30</v>
      </c>
      <c r="C532" s="7">
        <v>45424</v>
      </c>
      <c r="D532" s="6" t="s">
        <v>25</v>
      </c>
      <c r="E532" s="8">
        <v>21231</v>
      </c>
      <c r="F532" s="8">
        <v>9493</v>
      </c>
      <c r="G532" s="8">
        <v>166</v>
      </c>
      <c r="H532" s="8">
        <v>127</v>
      </c>
      <c r="I532" s="8">
        <v>103</v>
      </c>
      <c r="J532" s="19">
        <f t="shared" si="13"/>
        <v>1.8651971174226366E-2</v>
      </c>
      <c r="K532" s="9">
        <v>4.17</v>
      </c>
      <c r="L532" s="10">
        <f t="shared" si="12"/>
        <v>1.8651971174226366E-2</v>
      </c>
    </row>
    <row r="533" spans="1:12" ht="14.25" customHeight="1" x14ac:dyDescent="0.3">
      <c r="A533" s="6" t="s">
        <v>557</v>
      </c>
      <c r="B533" s="6" t="s">
        <v>19</v>
      </c>
      <c r="C533" s="7">
        <v>45682</v>
      </c>
      <c r="D533" s="6" t="s">
        <v>14</v>
      </c>
      <c r="E533" s="8">
        <v>24799</v>
      </c>
      <c r="F533" s="8">
        <v>14219</v>
      </c>
      <c r="G533" s="8">
        <v>159</v>
      </c>
      <c r="H533" s="8">
        <v>107</v>
      </c>
      <c r="I533" s="8">
        <v>50</v>
      </c>
      <c r="J533" s="19">
        <f t="shared" si="13"/>
        <v>1.2742449292310174E-2</v>
      </c>
      <c r="K533" s="9">
        <v>2.2200000000000002</v>
      </c>
      <c r="L533" s="10">
        <f t="shared" si="12"/>
        <v>1.2742449292310174E-2</v>
      </c>
    </row>
    <row r="534" spans="1:12" ht="14.25" customHeight="1" x14ac:dyDescent="0.3">
      <c r="A534" s="6" t="s">
        <v>558</v>
      </c>
      <c r="B534" s="6" t="s">
        <v>13</v>
      </c>
      <c r="C534" s="7">
        <v>45308</v>
      </c>
      <c r="D534" s="6" t="s">
        <v>20</v>
      </c>
      <c r="E534" s="8">
        <v>3061</v>
      </c>
      <c r="F534" s="8">
        <v>1290</v>
      </c>
      <c r="G534" s="8">
        <v>63</v>
      </c>
      <c r="H534" s="8">
        <v>7</v>
      </c>
      <c r="I534" s="8">
        <v>28</v>
      </c>
      <c r="J534" s="19">
        <f t="shared" si="13"/>
        <v>3.2015681149950993E-2</v>
      </c>
      <c r="K534" s="9">
        <v>7.6</v>
      </c>
      <c r="L534" s="10">
        <f t="shared" si="12"/>
        <v>3.2015681149950993E-2</v>
      </c>
    </row>
    <row r="535" spans="1:12" ht="14.25" customHeight="1" x14ac:dyDescent="0.3">
      <c r="A535" s="6" t="s">
        <v>559</v>
      </c>
      <c r="B535" s="6" t="s">
        <v>22</v>
      </c>
      <c r="C535" s="7">
        <v>45728</v>
      </c>
      <c r="D535" s="6" t="s">
        <v>23</v>
      </c>
      <c r="E535" s="8">
        <v>340043</v>
      </c>
      <c r="F535" s="8">
        <v>161330</v>
      </c>
      <c r="G535" s="8">
        <v>7093</v>
      </c>
      <c r="H535" s="8">
        <v>2464</v>
      </c>
      <c r="I535" s="8">
        <v>5353</v>
      </c>
      <c r="J535" s="19">
        <f t="shared" si="13"/>
        <v>4.3847395770534904E-2</v>
      </c>
      <c r="K535" s="9">
        <v>9.24</v>
      </c>
      <c r="L535" s="10">
        <f t="shared" si="12"/>
        <v>4.3847395770534904E-2</v>
      </c>
    </row>
    <row r="536" spans="1:12" ht="14.25" customHeight="1" x14ac:dyDescent="0.3">
      <c r="A536" s="6" t="s">
        <v>560</v>
      </c>
      <c r="B536" s="6" t="s">
        <v>19</v>
      </c>
      <c r="C536" s="7">
        <v>45359</v>
      </c>
      <c r="D536" s="6" t="s">
        <v>20</v>
      </c>
      <c r="E536" s="8">
        <v>29619</v>
      </c>
      <c r="F536" s="8">
        <v>22976</v>
      </c>
      <c r="G536" s="8">
        <v>279</v>
      </c>
      <c r="H536" s="8">
        <v>148</v>
      </c>
      <c r="I536" s="8">
        <v>145</v>
      </c>
      <c r="J536" s="19">
        <f t="shared" si="13"/>
        <v>1.9311928154225329E-2</v>
      </c>
      <c r="K536" s="9">
        <v>2.4900000000000002</v>
      </c>
      <c r="L536" s="10">
        <f t="shared" si="12"/>
        <v>1.9311928154225329E-2</v>
      </c>
    </row>
    <row r="537" spans="1:12" ht="14.25" customHeight="1" x14ac:dyDescent="0.3">
      <c r="A537" s="6" t="s">
        <v>561</v>
      </c>
      <c r="B537" s="6" t="s">
        <v>22</v>
      </c>
      <c r="C537" s="7">
        <v>45663</v>
      </c>
      <c r="D537" s="6" t="s">
        <v>23</v>
      </c>
      <c r="E537" s="8">
        <v>422846</v>
      </c>
      <c r="F537" s="8">
        <v>225005</v>
      </c>
      <c r="G537" s="8">
        <v>19967</v>
      </c>
      <c r="H537" s="8">
        <v>2782</v>
      </c>
      <c r="I537" s="8">
        <v>2634</v>
      </c>
      <c r="J537" s="19">
        <f t="shared" si="13"/>
        <v>6.0028946708730838E-2</v>
      </c>
      <c r="K537" s="9">
        <v>11.28</v>
      </c>
      <c r="L537" s="10">
        <f t="shared" si="12"/>
        <v>6.0028946708730838E-2</v>
      </c>
    </row>
    <row r="538" spans="1:12" ht="14.25" customHeight="1" x14ac:dyDescent="0.3">
      <c r="A538" s="6" t="s">
        <v>562</v>
      </c>
      <c r="B538" s="6" t="s">
        <v>13</v>
      </c>
      <c r="C538" s="7">
        <v>45724</v>
      </c>
      <c r="D538" s="6" t="s">
        <v>17</v>
      </c>
      <c r="E538" s="8">
        <v>27037</v>
      </c>
      <c r="F538" s="8">
        <v>11583</v>
      </c>
      <c r="G538" s="8">
        <v>294</v>
      </c>
      <c r="H538" s="8">
        <v>180</v>
      </c>
      <c r="I538" s="8">
        <v>235</v>
      </c>
      <c r="J538" s="19">
        <f t="shared" si="13"/>
        <v>2.6223323593593965E-2</v>
      </c>
      <c r="K538" s="9">
        <v>6.12</v>
      </c>
      <c r="L538" s="10">
        <f t="shared" si="12"/>
        <v>2.6223323593593965E-2</v>
      </c>
    </row>
    <row r="539" spans="1:12" ht="14.25" customHeight="1" x14ac:dyDescent="0.3">
      <c r="A539" s="6" t="s">
        <v>563</v>
      </c>
      <c r="B539" s="6" t="s">
        <v>16</v>
      </c>
      <c r="C539" s="7">
        <v>45922</v>
      </c>
      <c r="D539" s="6" t="s">
        <v>23</v>
      </c>
      <c r="E539" s="8">
        <v>58108</v>
      </c>
      <c r="F539" s="8">
        <v>45986</v>
      </c>
      <c r="G539" s="8">
        <v>1595</v>
      </c>
      <c r="H539" s="8">
        <v>273</v>
      </c>
      <c r="I539" s="8">
        <v>79</v>
      </c>
      <c r="J539" s="19">
        <f t="shared" si="13"/>
        <v>3.3506573965719003E-2</v>
      </c>
      <c r="K539" s="9">
        <v>4.2300000000000004</v>
      </c>
      <c r="L539" s="10">
        <f t="shared" si="12"/>
        <v>3.3506573965719003E-2</v>
      </c>
    </row>
    <row r="540" spans="1:12" ht="14.25" customHeight="1" x14ac:dyDescent="0.3">
      <c r="A540" s="6" t="s">
        <v>564</v>
      </c>
      <c r="B540" s="6" t="s">
        <v>13</v>
      </c>
      <c r="C540" s="7">
        <v>45689</v>
      </c>
      <c r="D540" s="6" t="s">
        <v>25</v>
      </c>
      <c r="E540" s="8">
        <v>39598</v>
      </c>
      <c r="F540" s="8">
        <v>27591</v>
      </c>
      <c r="G540" s="8">
        <v>554</v>
      </c>
      <c r="H540" s="8">
        <v>546</v>
      </c>
      <c r="I540" s="8">
        <v>240</v>
      </c>
      <c r="J540" s="19">
        <f t="shared" si="13"/>
        <v>3.3840092933986564E-2</v>
      </c>
      <c r="K540" s="9">
        <v>4.8600000000000003</v>
      </c>
      <c r="L540" s="10">
        <f t="shared" si="12"/>
        <v>3.3840092933986564E-2</v>
      </c>
    </row>
    <row r="541" spans="1:12" ht="14.25" customHeight="1" x14ac:dyDescent="0.3">
      <c r="A541" s="6" t="s">
        <v>565</v>
      </c>
      <c r="B541" s="6" t="s">
        <v>16</v>
      </c>
      <c r="C541" s="7">
        <v>45842</v>
      </c>
      <c r="D541" s="6" t="s">
        <v>23</v>
      </c>
      <c r="E541" s="8">
        <v>13315</v>
      </c>
      <c r="F541" s="8">
        <v>8634</v>
      </c>
      <c r="G541" s="8">
        <v>386</v>
      </c>
      <c r="H541" s="8">
        <v>17</v>
      </c>
      <c r="I541" s="8">
        <v>54</v>
      </c>
      <c r="J541" s="19">
        <f t="shared" si="13"/>
        <v>3.4322193015396171E-2</v>
      </c>
      <c r="K541" s="9">
        <v>5.29</v>
      </c>
      <c r="L541" s="10">
        <f t="shared" si="12"/>
        <v>3.4322193015396171E-2</v>
      </c>
    </row>
    <row r="542" spans="1:12" ht="14.25" customHeight="1" x14ac:dyDescent="0.3">
      <c r="A542" s="6" t="s">
        <v>566</v>
      </c>
      <c r="B542" s="6" t="s">
        <v>22</v>
      </c>
      <c r="C542" s="7">
        <v>45935</v>
      </c>
      <c r="D542" s="6" t="s">
        <v>23</v>
      </c>
      <c r="E542" s="8">
        <v>205114</v>
      </c>
      <c r="F542" s="8">
        <v>63793</v>
      </c>
      <c r="G542" s="8">
        <v>2285</v>
      </c>
      <c r="H542" s="8">
        <v>1498</v>
      </c>
      <c r="I542" s="8">
        <v>1133</v>
      </c>
      <c r="J542" s="19">
        <f t="shared" si="13"/>
        <v>2.3967159725811014E-2</v>
      </c>
      <c r="K542" s="9">
        <v>7.71</v>
      </c>
      <c r="L542" s="10">
        <f t="shared" si="12"/>
        <v>2.3967159725811014E-2</v>
      </c>
    </row>
    <row r="543" spans="1:12" ht="14.25" customHeight="1" x14ac:dyDescent="0.3">
      <c r="A543" s="6" t="s">
        <v>567</v>
      </c>
      <c r="B543" s="6" t="s">
        <v>30</v>
      </c>
      <c r="C543" s="7">
        <v>45913</v>
      </c>
      <c r="D543" s="6" t="s">
        <v>14</v>
      </c>
      <c r="E543" s="8">
        <v>13067</v>
      </c>
      <c r="F543" s="8">
        <v>6556</v>
      </c>
      <c r="G543" s="8">
        <v>329</v>
      </c>
      <c r="H543" s="8">
        <v>126</v>
      </c>
      <c r="I543" s="8">
        <v>46</v>
      </c>
      <c r="J543" s="19">
        <f t="shared" si="13"/>
        <v>3.8340858651565009E-2</v>
      </c>
      <c r="K543" s="9">
        <v>7.64</v>
      </c>
      <c r="L543" s="10">
        <f t="shared" si="12"/>
        <v>3.8340858651565009E-2</v>
      </c>
    </row>
    <row r="544" spans="1:12" ht="14.25" customHeight="1" x14ac:dyDescent="0.3">
      <c r="A544" s="6" t="s">
        <v>568</v>
      </c>
      <c r="B544" s="6" t="s">
        <v>30</v>
      </c>
      <c r="C544" s="7">
        <v>46001</v>
      </c>
      <c r="D544" s="6" t="s">
        <v>17</v>
      </c>
      <c r="E544" s="8">
        <v>14564</v>
      </c>
      <c r="F544" s="8">
        <v>6240</v>
      </c>
      <c r="G544" s="8">
        <v>222</v>
      </c>
      <c r="H544" s="8">
        <v>92</v>
      </c>
      <c r="I544" s="8">
        <v>92</v>
      </c>
      <c r="J544" s="19">
        <f t="shared" si="13"/>
        <v>2.7876956879978029E-2</v>
      </c>
      <c r="K544" s="9">
        <v>6.51</v>
      </c>
      <c r="L544" s="10">
        <f t="shared" si="12"/>
        <v>2.7876956879978029E-2</v>
      </c>
    </row>
    <row r="545" spans="1:12" ht="14.25" customHeight="1" x14ac:dyDescent="0.3">
      <c r="A545" s="6" t="s">
        <v>569</v>
      </c>
      <c r="B545" s="6" t="s">
        <v>16</v>
      </c>
      <c r="C545" s="7">
        <v>45893</v>
      </c>
      <c r="D545" s="6" t="s">
        <v>20</v>
      </c>
      <c r="E545" s="8">
        <v>84635</v>
      </c>
      <c r="F545" s="8">
        <v>55737</v>
      </c>
      <c r="G545" s="8">
        <v>1423</v>
      </c>
      <c r="H545" s="8">
        <v>808</v>
      </c>
      <c r="I545" s="8">
        <v>474</v>
      </c>
      <c r="J545" s="19">
        <f t="shared" si="13"/>
        <v>3.1960772729958058E-2</v>
      </c>
      <c r="K545" s="9">
        <v>4.8499999999999996</v>
      </c>
      <c r="L545" s="10">
        <f t="shared" si="12"/>
        <v>3.1960772729958058E-2</v>
      </c>
    </row>
    <row r="546" spans="1:12" ht="14.25" customHeight="1" x14ac:dyDescent="0.3">
      <c r="A546" s="6" t="s">
        <v>570</v>
      </c>
      <c r="B546" s="6" t="s">
        <v>30</v>
      </c>
      <c r="C546" s="7">
        <v>45528</v>
      </c>
      <c r="D546" s="6" t="s">
        <v>14</v>
      </c>
      <c r="E546" s="8">
        <v>10273</v>
      </c>
      <c r="F546" s="8">
        <v>5654</v>
      </c>
      <c r="G546" s="8">
        <v>175</v>
      </c>
      <c r="H546" s="8">
        <v>43</v>
      </c>
      <c r="I546" s="8">
        <v>45</v>
      </c>
      <c r="J546" s="19">
        <f t="shared" si="13"/>
        <v>2.5601090236542393E-2</v>
      </c>
      <c r="K546" s="9">
        <v>4.6500000000000004</v>
      </c>
      <c r="L546" s="10">
        <f t="shared" si="12"/>
        <v>2.5601090236542393E-2</v>
      </c>
    </row>
    <row r="547" spans="1:12" ht="14.25" customHeight="1" x14ac:dyDescent="0.3">
      <c r="A547" s="6" t="s">
        <v>571</v>
      </c>
      <c r="B547" s="6" t="s">
        <v>19</v>
      </c>
      <c r="C547" s="7">
        <v>45814</v>
      </c>
      <c r="D547" s="6" t="s">
        <v>20</v>
      </c>
      <c r="E547" s="8">
        <v>7109</v>
      </c>
      <c r="F547" s="8">
        <v>4361</v>
      </c>
      <c r="G547" s="8">
        <v>97</v>
      </c>
      <c r="H547" s="8">
        <v>30</v>
      </c>
      <c r="I547" s="8">
        <v>85</v>
      </c>
      <c r="J547" s="19">
        <f t="shared" si="13"/>
        <v>2.9821353214235475E-2</v>
      </c>
      <c r="K547" s="9">
        <v>4.8600000000000003</v>
      </c>
      <c r="L547" s="10">
        <f t="shared" si="12"/>
        <v>2.9821353214235475E-2</v>
      </c>
    </row>
    <row r="548" spans="1:12" ht="14.25" customHeight="1" x14ac:dyDescent="0.3">
      <c r="A548" s="6" t="s">
        <v>572</v>
      </c>
      <c r="B548" s="6" t="s">
        <v>13</v>
      </c>
      <c r="C548" s="7">
        <v>45546</v>
      </c>
      <c r="D548" s="6" t="s">
        <v>17</v>
      </c>
      <c r="E548" s="8">
        <v>26436</v>
      </c>
      <c r="F548" s="8">
        <v>17632</v>
      </c>
      <c r="G548" s="8">
        <v>724</v>
      </c>
      <c r="H548" s="8">
        <v>287</v>
      </c>
      <c r="I548" s="8">
        <v>323</v>
      </c>
      <c r="J548" s="19">
        <f t="shared" si="13"/>
        <v>5.0461491904978062E-2</v>
      </c>
      <c r="K548" s="9">
        <v>7.57</v>
      </c>
      <c r="L548" s="10">
        <f t="shared" si="12"/>
        <v>5.0461491904978062E-2</v>
      </c>
    </row>
    <row r="549" spans="1:12" ht="14.25" customHeight="1" x14ac:dyDescent="0.3">
      <c r="A549" s="6" t="s">
        <v>573</v>
      </c>
      <c r="B549" s="6" t="s">
        <v>13</v>
      </c>
      <c r="C549" s="7">
        <v>45850</v>
      </c>
      <c r="D549" s="6" t="s">
        <v>17</v>
      </c>
      <c r="E549" s="8">
        <v>10617</v>
      </c>
      <c r="F549" s="8">
        <v>6587</v>
      </c>
      <c r="G549" s="8">
        <v>162</v>
      </c>
      <c r="H549" s="8">
        <v>66</v>
      </c>
      <c r="I549" s="8">
        <v>156</v>
      </c>
      <c r="J549" s="19">
        <f t="shared" si="13"/>
        <v>3.6168409155128568E-2</v>
      </c>
      <c r="K549" s="9">
        <v>5.83</v>
      </c>
      <c r="L549" s="10">
        <f t="shared" si="12"/>
        <v>3.6168409155128568E-2</v>
      </c>
    </row>
    <row r="550" spans="1:12" ht="14.25" customHeight="1" x14ac:dyDescent="0.3">
      <c r="A550" s="6" t="s">
        <v>574</v>
      </c>
      <c r="B550" s="6" t="s">
        <v>13</v>
      </c>
      <c r="C550" s="7">
        <v>45310</v>
      </c>
      <c r="D550" s="6" t="s">
        <v>14</v>
      </c>
      <c r="E550" s="8">
        <v>25704</v>
      </c>
      <c r="F550" s="8">
        <v>17953</v>
      </c>
      <c r="G550" s="8">
        <v>558</v>
      </c>
      <c r="H550" s="8">
        <v>191</v>
      </c>
      <c r="I550" s="8">
        <v>450</v>
      </c>
      <c r="J550" s="19">
        <f t="shared" si="13"/>
        <v>4.6646436352318708E-2</v>
      </c>
      <c r="K550" s="9">
        <v>6.68</v>
      </c>
      <c r="L550" s="10">
        <f t="shared" si="12"/>
        <v>4.6646436352318708E-2</v>
      </c>
    </row>
    <row r="551" spans="1:12" ht="14.25" customHeight="1" x14ac:dyDescent="0.3">
      <c r="A551" s="6" t="s">
        <v>575</v>
      </c>
      <c r="B551" s="6" t="s">
        <v>22</v>
      </c>
      <c r="C551" s="7">
        <v>45538</v>
      </c>
      <c r="D551" s="6" t="s">
        <v>23</v>
      </c>
      <c r="E551" s="8">
        <v>280933</v>
      </c>
      <c r="F551" s="8">
        <v>189679</v>
      </c>
      <c r="G551" s="8">
        <v>7795</v>
      </c>
      <c r="H551" s="8">
        <v>5204</v>
      </c>
      <c r="I551" s="8">
        <v>4138</v>
      </c>
      <c r="J551" s="19">
        <f t="shared" si="13"/>
        <v>6.1000309682379787E-2</v>
      </c>
      <c r="K551" s="9">
        <v>9.0299999999999994</v>
      </c>
      <c r="L551" s="10">
        <f t="shared" si="12"/>
        <v>6.1000309682379787E-2</v>
      </c>
    </row>
    <row r="552" spans="1:12" ht="14.25" customHeight="1" x14ac:dyDescent="0.3">
      <c r="A552" s="6" t="s">
        <v>576</v>
      </c>
      <c r="B552" s="6" t="s">
        <v>16</v>
      </c>
      <c r="C552" s="7">
        <v>45958</v>
      </c>
      <c r="D552" s="6" t="s">
        <v>23</v>
      </c>
      <c r="E552" s="8">
        <v>68366</v>
      </c>
      <c r="F552" s="8">
        <v>35477</v>
      </c>
      <c r="G552" s="8">
        <v>1826</v>
      </c>
      <c r="H552" s="8">
        <v>351</v>
      </c>
      <c r="I552" s="8">
        <v>194</v>
      </c>
      <c r="J552" s="19">
        <f t="shared" si="13"/>
        <v>3.4680981774566307E-2</v>
      </c>
      <c r="K552" s="9">
        <v>6.68</v>
      </c>
      <c r="L552" s="10">
        <f t="shared" si="12"/>
        <v>3.4680981774566307E-2</v>
      </c>
    </row>
    <row r="553" spans="1:12" ht="14.25" customHeight="1" x14ac:dyDescent="0.3">
      <c r="A553" s="6" t="s">
        <v>577</v>
      </c>
      <c r="B553" s="6" t="s">
        <v>22</v>
      </c>
      <c r="C553" s="7">
        <v>45750</v>
      </c>
      <c r="D553" s="6" t="s">
        <v>23</v>
      </c>
      <c r="E553" s="8">
        <v>335088</v>
      </c>
      <c r="F553" s="8">
        <v>169663</v>
      </c>
      <c r="G553" s="8">
        <v>15633</v>
      </c>
      <c r="H553" s="8">
        <v>2559</v>
      </c>
      <c r="I553" s="8">
        <v>6680</v>
      </c>
      <c r="J553" s="19">
        <f t="shared" si="13"/>
        <v>7.4225278135892664E-2</v>
      </c>
      <c r="K553" s="9">
        <v>14.66</v>
      </c>
      <c r="L553" s="10">
        <f t="shared" si="12"/>
        <v>7.4225278135892664E-2</v>
      </c>
    </row>
    <row r="554" spans="1:12" ht="14.25" customHeight="1" x14ac:dyDescent="0.3">
      <c r="A554" s="6" t="s">
        <v>578</v>
      </c>
      <c r="B554" s="6" t="s">
        <v>22</v>
      </c>
      <c r="C554" s="7">
        <v>45652</v>
      </c>
      <c r="D554" s="6" t="s">
        <v>23</v>
      </c>
      <c r="E554" s="8">
        <v>483615</v>
      </c>
      <c r="F554" s="8">
        <v>199498</v>
      </c>
      <c r="G554" s="8">
        <v>22698</v>
      </c>
      <c r="H554" s="8">
        <v>2739</v>
      </c>
      <c r="I554" s="8">
        <v>3031</v>
      </c>
      <c r="J554" s="19">
        <f t="shared" si="13"/>
        <v>5.8865006254975552E-2</v>
      </c>
      <c r="K554" s="9">
        <v>14.27</v>
      </c>
      <c r="L554" s="10">
        <f t="shared" si="12"/>
        <v>5.8865006254975552E-2</v>
      </c>
    </row>
    <row r="555" spans="1:12" ht="14.25" customHeight="1" x14ac:dyDescent="0.3">
      <c r="A555" s="6" t="s">
        <v>579</v>
      </c>
      <c r="B555" s="6" t="s">
        <v>13</v>
      </c>
      <c r="C555" s="7">
        <v>45299</v>
      </c>
      <c r="D555" s="6" t="s">
        <v>14</v>
      </c>
      <c r="E555" s="8">
        <v>19259</v>
      </c>
      <c r="F555" s="8">
        <v>12826</v>
      </c>
      <c r="G555" s="8">
        <v>282</v>
      </c>
      <c r="H555" s="8">
        <v>178</v>
      </c>
      <c r="I555" s="8">
        <v>354</v>
      </c>
      <c r="J555" s="19">
        <f t="shared" si="13"/>
        <v>4.2265953580144351E-2</v>
      </c>
      <c r="K555" s="9">
        <v>6.35</v>
      </c>
      <c r="L555" s="10">
        <f t="shared" si="12"/>
        <v>4.2265953580144351E-2</v>
      </c>
    </row>
    <row r="556" spans="1:12" ht="14.25" customHeight="1" x14ac:dyDescent="0.3">
      <c r="A556" s="6" t="s">
        <v>580</v>
      </c>
      <c r="B556" s="6" t="s">
        <v>22</v>
      </c>
      <c r="C556" s="7">
        <v>45934</v>
      </c>
      <c r="D556" s="6" t="s">
        <v>23</v>
      </c>
      <c r="E556" s="8">
        <v>105734</v>
      </c>
      <c r="F556" s="8">
        <v>49365</v>
      </c>
      <c r="G556" s="8">
        <v>3314</v>
      </c>
      <c r="H556" s="8">
        <v>1127</v>
      </c>
      <c r="I556" s="8">
        <v>2353</v>
      </c>
      <c r="J556" s="19">
        <f t="shared" si="13"/>
        <v>6.4255584769326801E-2</v>
      </c>
      <c r="K556" s="9">
        <v>13.76</v>
      </c>
      <c r="L556" s="10">
        <f t="shared" si="12"/>
        <v>6.4255584769326801E-2</v>
      </c>
    </row>
    <row r="557" spans="1:12" ht="14.25" customHeight="1" x14ac:dyDescent="0.3">
      <c r="A557" s="6" t="s">
        <v>581</v>
      </c>
      <c r="B557" s="6" t="s">
        <v>22</v>
      </c>
      <c r="C557" s="7">
        <v>45459</v>
      </c>
      <c r="D557" s="6" t="s">
        <v>20</v>
      </c>
      <c r="E557" s="8">
        <v>314434</v>
      </c>
      <c r="F557" s="8">
        <v>216610</v>
      </c>
      <c r="G557" s="8">
        <v>17538</v>
      </c>
      <c r="H557" s="8">
        <v>2841</v>
      </c>
      <c r="I557" s="8">
        <v>3817</v>
      </c>
      <c r="J557" s="19">
        <f t="shared" si="13"/>
        <v>7.6950965862470341E-2</v>
      </c>
      <c r="K557" s="9">
        <v>11.17</v>
      </c>
      <c r="L557" s="10">
        <f t="shared" si="12"/>
        <v>7.6950965862470341E-2</v>
      </c>
    </row>
    <row r="558" spans="1:12" ht="14.25" customHeight="1" x14ac:dyDescent="0.3">
      <c r="A558" s="6" t="s">
        <v>582</v>
      </c>
      <c r="B558" s="6" t="s">
        <v>30</v>
      </c>
      <c r="C558" s="7">
        <v>45689</v>
      </c>
      <c r="D558" s="6" t="s">
        <v>14</v>
      </c>
      <c r="E558" s="8">
        <v>3279</v>
      </c>
      <c r="F558" s="8">
        <v>2511</v>
      </c>
      <c r="G558" s="8">
        <v>111</v>
      </c>
      <c r="H558" s="8">
        <v>24</v>
      </c>
      <c r="I558" s="8">
        <v>27</v>
      </c>
      <c r="J558" s="19">
        <f t="shared" si="13"/>
        <v>4.9405306495882893E-2</v>
      </c>
      <c r="K558" s="9">
        <v>6.45</v>
      </c>
      <c r="L558" s="10">
        <f t="shared" si="12"/>
        <v>4.9405306495882893E-2</v>
      </c>
    </row>
    <row r="559" spans="1:12" ht="14.25" customHeight="1" x14ac:dyDescent="0.3">
      <c r="A559" s="6" t="s">
        <v>583</v>
      </c>
      <c r="B559" s="6" t="s">
        <v>13</v>
      </c>
      <c r="C559" s="7">
        <v>45344</v>
      </c>
      <c r="D559" s="6" t="s">
        <v>25</v>
      </c>
      <c r="E559" s="8">
        <v>49064</v>
      </c>
      <c r="F559" s="8">
        <v>33184</v>
      </c>
      <c r="G559" s="8">
        <v>1143</v>
      </c>
      <c r="H559" s="8">
        <v>345</v>
      </c>
      <c r="I559" s="8">
        <v>511</v>
      </c>
      <c r="J559" s="19">
        <f t="shared" si="13"/>
        <v>4.0742703407793901E-2</v>
      </c>
      <c r="K559" s="9">
        <v>6.02</v>
      </c>
      <c r="L559" s="10">
        <f t="shared" si="12"/>
        <v>4.0742703407793901E-2</v>
      </c>
    </row>
    <row r="560" spans="1:12" ht="14.25" customHeight="1" x14ac:dyDescent="0.3">
      <c r="A560" s="6" t="s">
        <v>584</v>
      </c>
      <c r="B560" s="6" t="s">
        <v>30</v>
      </c>
      <c r="C560" s="7">
        <v>45795</v>
      </c>
      <c r="D560" s="6" t="s">
        <v>14</v>
      </c>
      <c r="E560" s="8">
        <v>13079</v>
      </c>
      <c r="F560" s="8">
        <v>8025</v>
      </c>
      <c r="G560" s="8">
        <v>217</v>
      </c>
      <c r="H560" s="8">
        <v>177</v>
      </c>
      <c r="I560" s="8">
        <v>97</v>
      </c>
      <c r="J560" s="19">
        <f t="shared" si="13"/>
        <v>3.7541096414098939E-2</v>
      </c>
      <c r="K560" s="9">
        <v>6.12</v>
      </c>
      <c r="L560" s="10">
        <f t="shared" si="12"/>
        <v>3.7541096414098939E-2</v>
      </c>
    </row>
    <row r="561" spans="1:12" ht="14.25" customHeight="1" x14ac:dyDescent="0.3">
      <c r="A561" s="6" t="s">
        <v>585</v>
      </c>
      <c r="B561" s="6" t="s">
        <v>13</v>
      </c>
      <c r="C561" s="7">
        <v>45706</v>
      </c>
      <c r="D561" s="6" t="s">
        <v>20</v>
      </c>
      <c r="E561" s="8">
        <v>68875</v>
      </c>
      <c r="F561" s="8">
        <v>37350</v>
      </c>
      <c r="G561" s="8">
        <v>1165</v>
      </c>
      <c r="H561" s="8">
        <v>516</v>
      </c>
      <c r="I561" s="8">
        <v>980</v>
      </c>
      <c r="J561" s="19">
        <f t="shared" si="13"/>
        <v>3.8635208711433756E-2</v>
      </c>
      <c r="K561" s="9">
        <v>7.12</v>
      </c>
      <c r="L561" s="10">
        <f t="shared" si="12"/>
        <v>3.8635208711433756E-2</v>
      </c>
    </row>
    <row r="562" spans="1:12" ht="14.25" customHeight="1" x14ac:dyDescent="0.3">
      <c r="A562" s="6" t="s">
        <v>586</v>
      </c>
      <c r="B562" s="6" t="s">
        <v>22</v>
      </c>
      <c r="C562" s="7">
        <v>45341</v>
      </c>
      <c r="D562" s="6" t="s">
        <v>20</v>
      </c>
      <c r="E562" s="8">
        <v>292218</v>
      </c>
      <c r="F562" s="8">
        <v>150070</v>
      </c>
      <c r="G562" s="8">
        <v>4971</v>
      </c>
      <c r="H562" s="8">
        <v>824</v>
      </c>
      <c r="I562" s="8">
        <v>2913</v>
      </c>
      <c r="J562" s="19">
        <f t="shared" si="13"/>
        <v>2.979967010930196E-2</v>
      </c>
      <c r="K562" s="9">
        <v>5.8</v>
      </c>
      <c r="L562" s="10">
        <f t="shared" si="12"/>
        <v>2.979967010930196E-2</v>
      </c>
    </row>
    <row r="563" spans="1:12" ht="14.25" customHeight="1" x14ac:dyDescent="0.3">
      <c r="A563" s="6" t="s">
        <v>587</v>
      </c>
      <c r="B563" s="6" t="s">
        <v>13</v>
      </c>
      <c r="C563" s="7">
        <v>45495</v>
      </c>
      <c r="D563" s="6" t="s">
        <v>25</v>
      </c>
      <c r="E563" s="8">
        <v>2008</v>
      </c>
      <c r="F563" s="8">
        <v>1078</v>
      </c>
      <c r="G563" s="8">
        <v>37</v>
      </c>
      <c r="H563" s="8">
        <v>15</v>
      </c>
      <c r="I563" s="8">
        <v>19</v>
      </c>
      <c r="J563" s="19">
        <f t="shared" si="13"/>
        <v>3.5358565737051796E-2</v>
      </c>
      <c r="K563" s="9">
        <v>6.59</v>
      </c>
      <c r="L563" s="10">
        <f t="shared" si="12"/>
        <v>3.5358565737051796E-2</v>
      </c>
    </row>
    <row r="564" spans="1:12" ht="14.25" customHeight="1" x14ac:dyDescent="0.3">
      <c r="A564" s="6" t="s">
        <v>588</v>
      </c>
      <c r="B564" s="6" t="s">
        <v>22</v>
      </c>
      <c r="C564" s="7">
        <v>45819</v>
      </c>
      <c r="D564" s="6" t="s">
        <v>23</v>
      </c>
      <c r="E564" s="8">
        <v>186197</v>
      </c>
      <c r="F564" s="8">
        <v>110046</v>
      </c>
      <c r="G564" s="8">
        <v>12065</v>
      </c>
      <c r="H564" s="8">
        <v>3260</v>
      </c>
      <c r="I564" s="8">
        <v>1251</v>
      </c>
      <c r="J564" s="19">
        <f t="shared" si="13"/>
        <v>8.9023990719506757E-2</v>
      </c>
      <c r="K564" s="9">
        <v>15.06</v>
      </c>
      <c r="L564" s="10">
        <f t="shared" si="12"/>
        <v>8.9023990719506757E-2</v>
      </c>
    </row>
    <row r="565" spans="1:12" ht="14.25" customHeight="1" x14ac:dyDescent="0.3">
      <c r="A565" s="6" t="s">
        <v>589</v>
      </c>
      <c r="B565" s="6" t="s">
        <v>30</v>
      </c>
      <c r="C565" s="7">
        <v>45360</v>
      </c>
      <c r="D565" s="6" t="s">
        <v>17</v>
      </c>
      <c r="E565" s="8">
        <v>10544</v>
      </c>
      <c r="F565" s="8">
        <v>6025</v>
      </c>
      <c r="G565" s="8">
        <v>320</v>
      </c>
      <c r="H565" s="8">
        <v>69</v>
      </c>
      <c r="I565" s="8">
        <v>23</v>
      </c>
      <c r="J565" s="19">
        <f t="shared" si="13"/>
        <v>3.9074355083459786E-2</v>
      </c>
      <c r="K565" s="9">
        <v>6.84</v>
      </c>
      <c r="L565" s="10">
        <f t="shared" si="12"/>
        <v>3.9074355083459786E-2</v>
      </c>
    </row>
    <row r="566" spans="1:12" ht="14.25" customHeight="1" x14ac:dyDescent="0.3">
      <c r="A566" s="6" t="s">
        <v>590</v>
      </c>
      <c r="B566" s="6" t="s">
        <v>22</v>
      </c>
      <c r="C566" s="7">
        <v>45702</v>
      </c>
      <c r="D566" s="6" t="s">
        <v>20</v>
      </c>
      <c r="E566" s="8">
        <v>150291</v>
      </c>
      <c r="F566" s="8">
        <v>79412</v>
      </c>
      <c r="G566" s="8">
        <v>9221</v>
      </c>
      <c r="H566" s="8">
        <v>888</v>
      </c>
      <c r="I566" s="8">
        <v>1254</v>
      </c>
      <c r="J566" s="19">
        <f t="shared" si="13"/>
        <v>7.5606656419878765E-2</v>
      </c>
      <c r="K566" s="9">
        <v>14.31</v>
      </c>
      <c r="L566" s="10">
        <f t="shared" si="12"/>
        <v>7.5606656419878765E-2</v>
      </c>
    </row>
    <row r="567" spans="1:12" ht="14.25" customHeight="1" x14ac:dyDescent="0.3">
      <c r="A567" s="6" t="s">
        <v>591</v>
      </c>
      <c r="B567" s="6" t="s">
        <v>30</v>
      </c>
      <c r="C567" s="7">
        <v>45746</v>
      </c>
      <c r="D567" s="6" t="s">
        <v>20</v>
      </c>
      <c r="E567" s="8">
        <v>10578</v>
      </c>
      <c r="F567" s="8">
        <v>6220</v>
      </c>
      <c r="G567" s="8">
        <v>371</v>
      </c>
      <c r="H567" s="8">
        <v>107</v>
      </c>
      <c r="I567" s="8">
        <v>73</v>
      </c>
      <c r="J567" s="19">
        <f t="shared" si="13"/>
        <v>5.2089241822650782E-2</v>
      </c>
      <c r="K567" s="9">
        <v>8.86</v>
      </c>
      <c r="L567" s="10">
        <f t="shared" si="12"/>
        <v>5.2089241822650782E-2</v>
      </c>
    </row>
    <row r="568" spans="1:12" ht="14.25" customHeight="1" x14ac:dyDescent="0.3">
      <c r="A568" s="6" t="s">
        <v>592</v>
      </c>
      <c r="B568" s="6" t="s">
        <v>22</v>
      </c>
      <c r="C568" s="7">
        <v>45691</v>
      </c>
      <c r="D568" s="6" t="s">
        <v>23</v>
      </c>
      <c r="E568" s="8">
        <v>125093</v>
      </c>
      <c r="F568" s="8">
        <v>59574</v>
      </c>
      <c r="G568" s="8">
        <v>1936</v>
      </c>
      <c r="H568" s="8">
        <v>574</v>
      </c>
      <c r="I568" s="8">
        <v>2658</v>
      </c>
      <c r="J568" s="19">
        <f t="shared" si="13"/>
        <v>4.131326293237831E-2</v>
      </c>
      <c r="K568" s="9">
        <v>8.67</v>
      </c>
      <c r="L568" s="10">
        <f t="shared" si="12"/>
        <v>4.131326293237831E-2</v>
      </c>
    </row>
    <row r="569" spans="1:12" ht="14.25" customHeight="1" x14ac:dyDescent="0.3">
      <c r="A569" s="6" t="s">
        <v>593</v>
      </c>
      <c r="B569" s="6" t="s">
        <v>13</v>
      </c>
      <c r="C569" s="7">
        <v>45533</v>
      </c>
      <c r="D569" s="6" t="s">
        <v>25</v>
      </c>
      <c r="E569" s="8">
        <v>34704</v>
      </c>
      <c r="F569" s="8">
        <v>23012</v>
      </c>
      <c r="G569" s="8">
        <v>396</v>
      </c>
      <c r="H569" s="8">
        <v>198</v>
      </c>
      <c r="I569" s="8">
        <v>278</v>
      </c>
      <c r="J569" s="19">
        <f t="shared" si="13"/>
        <v>2.512678653757492E-2</v>
      </c>
      <c r="K569" s="9">
        <v>3.79</v>
      </c>
      <c r="L569" s="10">
        <f t="shared" si="12"/>
        <v>2.512678653757492E-2</v>
      </c>
    </row>
    <row r="570" spans="1:12" ht="14.25" customHeight="1" x14ac:dyDescent="0.3">
      <c r="A570" s="6" t="s">
        <v>594</v>
      </c>
      <c r="B570" s="6" t="s">
        <v>19</v>
      </c>
      <c r="C570" s="7">
        <v>45850</v>
      </c>
      <c r="D570" s="6" t="s">
        <v>14</v>
      </c>
      <c r="E570" s="8">
        <v>9830</v>
      </c>
      <c r="F570" s="8">
        <v>8700</v>
      </c>
      <c r="G570" s="8">
        <v>72</v>
      </c>
      <c r="H570" s="8">
        <v>37</v>
      </c>
      <c r="I570" s="8">
        <v>32</v>
      </c>
      <c r="J570" s="19">
        <f t="shared" si="13"/>
        <v>1.434384537131231E-2</v>
      </c>
      <c r="K570" s="9">
        <v>1.62</v>
      </c>
      <c r="L570" s="10">
        <f t="shared" si="12"/>
        <v>1.434384537131231E-2</v>
      </c>
    </row>
    <row r="571" spans="1:12" ht="14.25" customHeight="1" x14ac:dyDescent="0.3">
      <c r="A571" s="6" t="s">
        <v>595</v>
      </c>
      <c r="B571" s="6" t="s">
        <v>16</v>
      </c>
      <c r="C571" s="7">
        <v>45414</v>
      </c>
      <c r="D571" s="6" t="s">
        <v>17</v>
      </c>
      <c r="E571" s="8">
        <v>16856</v>
      </c>
      <c r="F571" s="8">
        <v>8393</v>
      </c>
      <c r="G571" s="8">
        <v>481</v>
      </c>
      <c r="H571" s="8">
        <v>124</v>
      </c>
      <c r="I571" s="8">
        <v>61</v>
      </c>
      <c r="J571" s="19">
        <f t="shared" si="13"/>
        <v>3.9511153298528716E-2</v>
      </c>
      <c r="K571" s="9">
        <v>7.94</v>
      </c>
      <c r="L571" s="10">
        <f t="shared" si="12"/>
        <v>3.9511153298528716E-2</v>
      </c>
    </row>
    <row r="572" spans="1:12" ht="14.25" customHeight="1" x14ac:dyDescent="0.3">
      <c r="A572" s="6" t="s">
        <v>596</v>
      </c>
      <c r="B572" s="6" t="s">
        <v>16</v>
      </c>
      <c r="C572" s="7">
        <v>45704</v>
      </c>
      <c r="D572" s="6" t="s">
        <v>23</v>
      </c>
      <c r="E572" s="8">
        <v>10726</v>
      </c>
      <c r="F572" s="8">
        <v>8238</v>
      </c>
      <c r="G572" s="8">
        <v>610</v>
      </c>
      <c r="H572" s="8">
        <v>72</v>
      </c>
      <c r="I572" s="8">
        <v>12</v>
      </c>
      <c r="J572" s="19">
        <f t="shared" si="13"/>
        <v>6.4702591832929326E-2</v>
      </c>
      <c r="K572" s="9">
        <v>8.42</v>
      </c>
      <c r="L572" s="10">
        <f t="shared" si="12"/>
        <v>6.4702591832929326E-2</v>
      </c>
    </row>
    <row r="573" spans="1:12" ht="14.25" customHeight="1" x14ac:dyDescent="0.3">
      <c r="A573" s="6" t="s">
        <v>597</v>
      </c>
      <c r="B573" s="6" t="s">
        <v>13</v>
      </c>
      <c r="C573" s="7">
        <v>45552</v>
      </c>
      <c r="D573" s="6" t="s">
        <v>17</v>
      </c>
      <c r="E573" s="8">
        <v>430</v>
      </c>
      <c r="F573" s="8">
        <v>140</v>
      </c>
      <c r="G573" s="8">
        <v>4</v>
      </c>
      <c r="H573" s="8">
        <v>0</v>
      </c>
      <c r="I573" s="8">
        <v>2</v>
      </c>
      <c r="J573" s="19">
        <f t="shared" si="13"/>
        <v>1.3953488372093023E-2</v>
      </c>
      <c r="K573" s="9">
        <v>4.29</v>
      </c>
      <c r="L573" s="10">
        <f t="shared" si="12"/>
        <v>1.3953488372093023E-2</v>
      </c>
    </row>
    <row r="574" spans="1:12" ht="14.25" customHeight="1" x14ac:dyDescent="0.3">
      <c r="A574" s="6" t="s">
        <v>598</v>
      </c>
      <c r="B574" s="6" t="s">
        <v>16</v>
      </c>
      <c r="C574" s="7">
        <v>45542</v>
      </c>
      <c r="D574" s="6" t="s">
        <v>20</v>
      </c>
      <c r="E574" s="8">
        <v>39894</v>
      </c>
      <c r="F574" s="8">
        <v>18610</v>
      </c>
      <c r="G574" s="8">
        <v>1028</v>
      </c>
      <c r="H574" s="8">
        <v>93</v>
      </c>
      <c r="I574" s="8">
        <v>49</v>
      </c>
      <c r="J574" s="19">
        <f t="shared" si="13"/>
        <v>2.9327718453902842E-2</v>
      </c>
      <c r="K574" s="9">
        <v>6.29</v>
      </c>
      <c r="L574" s="10">
        <f t="shared" si="12"/>
        <v>2.9327718453902842E-2</v>
      </c>
    </row>
    <row r="575" spans="1:12" ht="14.25" customHeight="1" x14ac:dyDescent="0.3">
      <c r="A575" s="6" t="s">
        <v>599</v>
      </c>
      <c r="B575" s="6" t="s">
        <v>19</v>
      </c>
      <c r="C575" s="7">
        <v>45870</v>
      </c>
      <c r="D575" s="6" t="s">
        <v>17</v>
      </c>
      <c r="E575" s="8">
        <v>8400</v>
      </c>
      <c r="F575" s="8">
        <v>4395</v>
      </c>
      <c r="G575" s="8">
        <v>82</v>
      </c>
      <c r="H575" s="8">
        <v>30</v>
      </c>
      <c r="I575" s="8">
        <v>10</v>
      </c>
      <c r="J575" s="19">
        <f t="shared" si="13"/>
        <v>1.4523809523809524E-2</v>
      </c>
      <c r="K575" s="9">
        <v>2.78</v>
      </c>
      <c r="L575" s="10">
        <f t="shared" si="12"/>
        <v>1.4523809523809524E-2</v>
      </c>
    </row>
    <row r="576" spans="1:12" ht="14.25" customHeight="1" x14ac:dyDescent="0.3">
      <c r="A576" s="6" t="s">
        <v>600</v>
      </c>
      <c r="B576" s="6" t="s">
        <v>13</v>
      </c>
      <c r="C576" s="7">
        <v>45713</v>
      </c>
      <c r="D576" s="6" t="s">
        <v>20</v>
      </c>
      <c r="E576" s="8">
        <v>8815</v>
      </c>
      <c r="F576" s="8">
        <v>4648</v>
      </c>
      <c r="G576" s="8">
        <v>155</v>
      </c>
      <c r="H576" s="8">
        <v>83</v>
      </c>
      <c r="I576" s="8">
        <v>59</v>
      </c>
      <c r="J576" s="19">
        <f t="shared" si="13"/>
        <v>3.3692569483834374E-2</v>
      </c>
      <c r="K576" s="9">
        <v>6.39</v>
      </c>
      <c r="L576" s="10">
        <f t="shared" si="12"/>
        <v>3.3692569483834374E-2</v>
      </c>
    </row>
    <row r="577" spans="1:12" ht="14.25" customHeight="1" x14ac:dyDescent="0.3">
      <c r="A577" s="6" t="s">
        <v>601</v>
      </c>
      <c r="B577" s="6" t="s">
        <v>22</v>
      </c>
      <c r="C577" s="7">
        <v>45360</v>
      </c>
      <c r="D577" s="6" t="s">
        <v>23</v>
      </c>
      <c r="E577" s="8">
        <v>31337</v>
      </c>
      <c r="F577" s="8">
        <v>18849</v>
      </c>
      <c r="G577" s="8">
        <v>1063</v>
      </c>
      <c r="H577" s="8">
        <v>213</v>
      </c>
      <c r="I577" s="8">
        <v>558</v>
      </c>
      <c r="J577" s="19">
        <f t="shared" si="13"/>
        <v>5.8525066215655612E-2</v>
      </c>
      <c r="K577" s="9">
        <v>9.73</v>
      </c>
      <c r="L577" s="10">
        <f t="shared" si="12"/>
        <v>5.8525066215655612E-2</v>
      </c>
    </row>
    <row r="578" spans="1:12" ht="14.25" customHeight="1" x14ac:dyDescent="0.3">
      <c r="A578" s="6" t="s">
        <v>602</v>
      </c>
      <c r="B578" s="6" t="s">
        <v>16</v>
      </c>
      <c r="C578" s="7">
        <v>45323</v>
      </c>
      <c r="D578" s="6" t="s">
        <v>25</v>
      </c>
      <c r="E578" s="8">
        <v>40741</v>
      </c>
      <c r="F578" s="8">
        <v>30669</v>
      </c>
      <c r="G578" s="8">
        <v>2358</v>
      </c>
      <c r="H578" s="8">
        <v>373</v>
      </c>
      <c r="I578" s="8">
        <v>142</v>
      </c>
      <c r="J578" s="19">
        <f t="shared" si="13"/>
        <v>7.0518642154095382E-2</v>
      </c>
      <c r="K578" s="9">
        <v>9.3699999999999992</v>
      </c>
      <c r="L578" s="10">
        <f t="shared" si="12"/>
        <v>7.0518642154095382E-2</v>
      </c>
    </row>
    <row r="579" spans="1:12" ht="14.25" customHeight="1" x14ac:dyDescent="0.3">
      <c r="A579" s="6" t="s">
        <v>603</v>
      </c>
      <c r="B579" s="6" t="s">
        <v>16</v>
      </c>
      <c r="C579" s="7">
        <v>45836</v>
      </c>
      <c r="D579" s="6" t="s">
        <v>20</v>
      </c>
      <c r="E579" s="8">
        <v>90765</v>
      </c>
      <c r="F579" s="8">
        <v>39448</v>
      </c>
      <c r="G579" s="8">
        <v>3115</v>
      </c>
      <c r="H579" s="8">
        <v>465</v>
      </c>
      <c r="I579" s="8">
        <v>278</v>
      </c>
      <c r="J579" s="19">
        <f t="shared" ref="J579:J642" si="14">(G579+H579+I579)/E579</f>
        <v>4.2505371013055696E-2</v>
      </c>
      <c r="K579" s="9">
        <v>9.7799999999999994</v>
      </c>
      <c r="L579" s="10">
        <f t="shared" si="12"/>
        <v>4.2505371013055696E-2</v>
      </c>
    </row>
    <row r="580" spans="1:12" ht="14.25" customHeight="1" x14ac:dyDescent="0.3">
      <c r="A580" s="6" t="s">
        <v>604</v>
      </c>
      <c r="B580" s="6" t="s">
        <v>13</v>
      </c>
      <c r="C580" s="7">
        <v>45566</v>
      </c>
      <c r="D580" s="6" t="s">
        <v>20</v>
      </c>
      <c r="E580" s="8">
        <v>59087</v>
      </c>
      <c r="F580" s="8">
        <v>26659</v>
      </c>
      <c r="G580" s="8">
        <v>1037</v>
      </c>
      <c r="H580" s="8">
        <v>255</v>
      </c>
      <c r="I580" s="8">
        <v>412</v>
      </c>
      <c r="J580" s="19">
        <f t="shared" si="14"/>
        <v>2.8838830876504139E-2</v>
      </c>
      <c r="K580" s="9">
        <v>6.39</v>
      </c>
      <c r="L580" s="10">
        <f t="shared" si="12"/>
        <v>2.8838830876504139E-2</v>
      </c>
    </row>
    <row r="581" spans="1:12" ht="14.25" customHeight="1" x14ac:dyDescent="0.3">
      <c r="A581" s="6" t="s">
        <v>605</v>
      </c>
      <c r="B581" s="6" t="s">
        <v>30</v>
      </c>
      <c r="C581" s="7">
        <v>45994</v>
      </c>
      <c r="D581" s="6" t="s">
        <v>17</v>
      </c>
      <c r="E581" s="8">
        <v>10178</v>
      </c>
      <c r="F581" s="8">
        <v>6696</v>
      </c>
      <c r="G581" s="8">
        <v>230</v>
      </c>
      <c r="H581" s="8">
        <v>115</v>
      </c>
      <c r="I581" s="8">
        <v>33</v>
      </c>
      <c r="J581" s="19">
        <f t="shared" si="14"/>
        <v>3.7138927097661624E-2</v>
      </c>
      <c r="K581" s="9">
        <v>5.65</v>
      </c>
      <c r="L581" s="10">
        <f t="shared" si="12"/>
        <v>3.7138927097661624E-2</v>
      </c>
    </row>
    <row r="582" spans="1:12" ht="14.25" customHeight="1" x14ac:dyDescent="0.3">
      <c r="A582" s="6" t="s">
        <v>606</v>
      </c>
      <c r="B582" s="6" t="s">
        <v>22</v>
      </c>
      <c r="C582" s="7">
        <v>45830</v>
      </c>
      <c r="D582" s="6" t="s">
        <v>23</v>
      </c>
      <c r="E582" s="8">
        <v>93677</v>
      </c>
      <c r="F582" s="8">
        <v>47760</v>
      </c>
      <c r="G582" s="8">
        <v>2519</v>
      </c>
      <c r="H582" s="8">
        <v>767</v>
      </c>
      <c r="I582" s="8">
        <v>1608</v>
      </c>
      <c r="J582" s="19">
        <f t="shared" si="14"/>
        <v>5.2243346819390031E-2</v>
      </c>
      <c r="K582" s="9">
        <v>10.25</v>
      </c>
      <c r="L582" s="10">
        <f t="shared" si="12"/>
        <v>5.2243346819390031E-2</v>
      </c>
    </row>
    <row r="583" spans="1:12" ht="14.25" customHeight="1" x14ac:dyDescent="0.3">
      <c r="A583" s="6" t="s">
        <v>607</v>
      </c>
      <c r="B583" s="6" t="s">
        <v>16</v>
      </c>
      <c r="C583" s="7">
        <v>45504</v>
      </c>
      <c r="D583" s="6" t="s">
        <v>25</v>
      </c>
      <c r="E583" s="8">
        <v>72995</v>
      </c>
      <c r="F583" s="8">
        <v>57555</v>
      </c>
      <c r="G583" s="8">
        <v>3273</v>
      </c>
      <c r="H583" s="8">
        <v>169</v>
      </c>
      <c r="I583" s="8">
        <v>105</v>
      </c>
      <c r="J583" s="19">
        <f t="shared" si="14"/>
        <v>4.8592369340365781E-2</v>
      </c>
      <c r="K583" s="9">
        <v>6.16</v>
      </c>
      <c r="L583" s="10">
        <f t="shared" si="12"/>
        <v>4.8592369340365781E-2</v>
      </c>
    </row>
    <row r="584" spans="1:12" ht="14.25" customHeight="1" x14ac:dyDescent="0.3">
      <c r="A584" s="6" t="s">
        <v>608</v>
      </c>
      <c r="B584" s="6" t="s">
        <v>13</v>
      </c>
      <c r="C584" s="7">
        <v>45944</v>
      </c>
      <c r="D584" s="6" t="s">
        <v>14</v>
      </c>
      <c r="E584" s="8">
        <v>4486</v>
      </c>
      <c r="F584" s="8">
        <v>1431</v>
      </c>
      <c r="G584" s="8">
        <v>29</v>
      </c>
      <c r="H584" s="8">
        <v>9</v>
      </c>
      <c r="I584" s="8">
        <v>29</v>
      </c>
      <c r="J584" s="19">
        <f t="shared" si="14"/>
        <v>1.4935354436023182E-2</v>
      </c>
      <c r="K584" s="9">
        <v>4.68</v>
      </c>
      <c r="L584" s="10">
        <f t="shared" si="12"/>
        <v>1.4935354436023182E-2</v>
      </c>
    </row>
    <row r="585" spans="1:12" ht="14.25" customHeight="1" x14ac:dyDescent="0.3">
      <c r="A585" s="6" t="s">
        <v>609</v>
      </c>
      <c r="B585" s="6" t="s">
        <v>22</v>
      </c>
      <c r="C585" s="7">
        <v>45901</v>
      </c>
      <c r="D585" s="6" t="s">
        <v>20</v>
      </c>
      <c r="E585" s="8">
        <v>237487</v>
      </c>
      <c r="F585" s="8">
        <v>99914</v>
      </c>
      <c r="G585" s="8">
        <v>8276</v>
      </c>
      <c r="H585" s="8">
        <v>1453</v>
      </c>
      <c r="I585" s="8">
        <v>1566</v>
      </c>
      <c r="J585" s="19">
        <f t="shared" si="14"/>
        <v>4.756049804831422E-2</v>
      </c>
      <c r="K585" s="9">
        <v>11.3</v>
      </c>
      <c r="L585" s="10">
        <f t="shared" si="12"/>
        <v>4.756049804831422E-2</v>
      </c>
    </row>
    <row r="586" spans="1:12" ht="14.25" customHeight="1" x14ac:dyDescent="0.3">
      <c r="A586" s="6" t="s">
        <v>610</v>
      </c>
      <c r="B586" s="6" t="s">
        <v>13</v>
      </c>
      <c r="C586" s="7">
        <v>45691</v>
      </c>
      <c r="D586" s="6" t="s">
        <v>14</v>
      </c>
      <c r="E586" s="8">
        <v>10170</v>
      </c>
      <c r="F586" s="8">
        <v>4591</v>
      </c>
      <c r="G586" s="8">
        <v>190</v>
      </c>
      <c r="H586" s="8">
        <v>42</v>
      </c>
      <c r="I586" s="8">
        <v>85</v>
      </c>
      <c r="J586" s="19">
        <f t="shared" si="14"/>
        <v>3.1170108161258602E-2</v>
      </c>
      <c r="K586" s="9">
        <v>6.9</v>
      </c>
      <c r="L586" s="10">
        <f t="shared" si="12"/>
        <v>3.1170108161258602E-2</v>
      </c>
    </row>
    <row r="587" spans="1:12" ht="14.25" customHeight="1" x14ac:dyDescent="0.3">
      <c r="A587" s="6" t="s">
        <v>611</v>
      </c>
      <c r="B587" s="6" t="s">
        <v>13</v>
      </c>
      <c r="C587" s="7">
        <v>45495</v>
      </c>
      <c r="D587" s="6" t="s">
        <v>25</v>
      </c>
      <c r="E587" s="8">
        <v>27574</v>
      </c>
      <c r="F587" s="8">
        <v>8874</v>
      </c>
      <c r="G587" s="8">
        <v>182</v>
      </c>
      <c r="H587" s="8">
        <v>129</v>
      </c>
      <c r="I587" s="8">
        <v>83</v>
      </c>
      <c r="J587" s="19">
        <f t="shared" si="14"/>
        <v>1.4288822804090811E-2</v>
      </c>
      <c r="K587" s="9">
        <v>4.4400000000000004</v>
      </c>
      <c r="L587" s="10">
        <f t="shared" si="12"/>
        <v>1.4288822804090811E-2</v>
      </c>
    </row>
    <row r="588" spans="1:12" ht="14.25" customHeight="1" x14ac:dyDescent="0.3">
      <c r="A588" s="6" t="s">
        <v>612</v>
      </c>
      <c r="B588" s="6" t="s">
        <v>22</v>
      </c>
      <c r="C588" s="7">
        <v>45511</v>
      </c>
      <c r="D588" s="6" t="s">
        <v>20</v>
      </c>
      <c r="E588" s="8">
        <v>352524</v>
      </c>
      <c r="F588" s="8">
        <v>141986</v>
      </c>
      <c r="G588" s="8">
        <v>11532</v>
      </c>
      <c r="H588" s="8">
        <v>983</v>
      </c>
      <c r="I588" s="8">
        <v>2854</v>
      </c>
      <c r="J588" s="19">
        <f t="shared" si="14"/>
        <v>4.3597031691459308E-2</v>
      </c>
      <c r="K588" s="9">
        <v>10.82</v>
      </c>
      <c r="L588" s="10">
        <f t="shared" si="12"/>
        <v>4.3597031691459308E-2</v>
      </c>
    </row>
    <row r="589" spans="1:12" ht="14.25" customHeight="1" x14ac:dyDescent="0.3">
      <c r="A589" s="6" t="s">
        <v>613</v>
      </c>
      <c r="B589" s="6" t="s">
        <v>13</v>
      </c>
      <c r="C589" s="7">
        <v>45761</v>
      </c>
      <c r="D589" s="6" t="s">
        <v>25</v>
      </c>
      <c r="E589" s="8">
        <v>43587</v>
      </c>
      <c r="F589" s="8">
        <v>19157</v>
      </c>
      <c r="G589" s="8">
        <v>349</v>
      </c>
      <c r="H589" s="8">
        <v>287</v>
      </c>
      <c r="I589" s="8">
        <v>144</v>
      </c>
      <c r="J589" s="19">
        <f t="shared" si="14"/>
        <v>1.7895243994769081E-2</v>
      </c>
      <c r="K589" s="9">
        <v>4.07</v>
      </c>
      <c r="L589" s="10">
        <f t="shared" si="12"/>
        <v>1.7895243994769081E-2</v>
      </c>
    </row>
    <row r="590" spans="1:12" ht="14.25" customHeight="1" x14ac:dyDescent="0.3">
      <c r="A590" s="6" t="s">
        <v>614</v>
      </c>
      <c r="B590" s="6" t="s">
        <v>22</v>
      </c>
      <c r="C590" s="7">
        <v>45735</v>
      </c>
      <c r="D590" s="6" t="s">
        <v>23</v>
      </c>
      <c r="E590" s="8">
        <v>212134</v>
      </c>
      <c r="F590" s="8">
        <v>64001</v>
      </c>
      <c r="G590" s="8">
        <v>7316</v>
      </c>
      <c r="H590" s="8">
        <v>629</v>
      </c>
      <c r="I590" s="8">
        <v>1698</v>
      </c>
      <c r="J590" s="19">
        <f t="shared" si="14"/>
        <v>4.5457116728105817E-2</v>
      </c>
      <c r="K590" s="9">
        <v>15.07</v>
      </c>
      <c r="L590" s="10">
        <f t="shared" si="12"/>
        <v>4.5457116728105817E-2</v>
      </c>
    </row>
    <row r="591" spans="1:12" ht="14.25" customHeight="1" x14ac:dyDescent="0.3">
      <c r="A591" s="6" t="s">
        <v>615</v>
      </c>
      <c r="B591" s="6" t="s">
        <v>16</v>
      </c>
      <c r="C591" s="7">
        <v>46007</v>
      </c>
      <c r="D591" s="6" t="s">
        <v>25</v>
      </c>
      <c r="E591" s="8">
        <v>40971</v>
      </c>
      <c r="F591" s="8">
        <v>24583</v>
      </c>
      <c r="G591" s="8">
        <v>1757</v>
      </c>
      <c r="H591" s="8">
        <v>204</v>
      </c>
      <c r="I591" s="8">
        <v>198</v>
      </c>
      <c r="J591" s="19">
        <f t="shared" si="14"/>
        <v>5.2695809230919433E-2</v>
      </c>
      <c r="K591" s="9">
        <v>8.7799999999999994</v>
      </c>
      <c r="L591" s="10">
        <f t="shared" si="12"/>
        <v>5.2695809230919433E-2</v>
      </c>
    </row>
    <row r="592" spans="1:12" ht="14.25" customHeight="1" x14ac:dyDescent="0.3">
      <c r="A592" s="6" t="s">
        <v>616</v>
      </c>
      <c r="B592" s="6" t="s">
        <v>22</v>
      </c>
      <c r="C592" s="7">
        <v>45499</v>
      </c>
      <c r="D592" s="6" t="s">
        <v>23</v>
      </c>
      <c r="E592" s="8">
        <v>335537</v>
      </c>
      <c r="F592" s="8">
        <v>139187</v>
      </c>
      <c r="G592" s="8">
        <v>5211</v>
      </c>
      <c r="H592" s="8">
        <v>2098</v>
      </c>
      <c r="I592" s="8">
        <v>4949</v>
      </c>
      <c r="J592" s="19">
        <f t="shared" si="14"/>
        <v>3.653248374992922E-2</v>
      </c>
      <c r="K592" s="9">
        <v>8.81</v>
      </c>
      <c r="L592" s="10">
        <f t="shared" si="12"/>
        <v>3.653248374992922E-2</v>
      </c>
    </row>
    <row r="593" spans="1:12" ht="14.25" customHeight="1" x14ac:dyDescent="0.3">
      <c r="A593" s="6" t="s">
        <v>617</v>
      </c>
      <c r="B593" s="6" t="s">
        <v>22</v>
      </c>
      <c r="C593" s="7">
        <v>45671</v>
      </c>
      <c r="D593" s="6" t="s">
        <v>23</v>
      </c>
      <c r="E593" s="8">
        <v>131357</v>
      </c>
      <c r="F593" s="8">
        <v>89146</v>
      </c>
      <c r="G593" s="8">
        <v>2771</v>
      </c>
      <c r="H593" s="8">
        <v>2281</v>
      </c>
      <c r="I593" s="8">
        <v>1327</v>
      </c>
      <c r="J593" s="19">
        <f t="shared" si="14"/>
        <v>4.8562314912794904E-2</v>
      </c>
      <c r="K593" s="9">
        <v>7.16</v>
      </c>
      <c r="L593" s="10">
        <f t="shared" si="12"/>
        <v>4.8562314912794904E-2</v>
      </c>
    </row>
    <row r="594" spans="1:12" ht="14.25" customHeight="1" x14ac:dyDescent="0.3">
      <c r="A594" s="6" t="s">
        <v>618</v>
      </c>
      <c r="B594" s="6" t="s">
        <v>13</v>
      </c>
      <c r="C594" s="7">
        <v>46016</v>
      </c>
      <c r="D594" s="6" t="s">
        <v>17</v>
      </c>
      <c r="E594" s="8">
        <v>5270</v>
      </c>
      <c r="F594" s="8">
        <v>3016</v>
      </c>
      <c r="G594" s="8">
        <v>56</v>
      </c>
      <c r="H594" s="8">
        <v>48</v>
      </c>
      <c r="I594" s="8">
        <v>36</v>
      </c>
      <c r="J594" s="19">
        <f t="shared" si="14"/>
        <v>2.6565464895635674E-2</v>
      </c>
      <c r="K594" s="9">
        <v>4.6399999999999997</v>
      </c>
      <c r="L594" s="10">
        <f t="shared" si="12"/>
        <v>2.6565464895635674E-2</v>
      </c>
    </row>
    <row r="595" spans="1:12" ht="14.25" customHeight="1" x14ac:dyDescent="0.3">
      <c r="A595" s="6" t="s">
        <v>619</v>
      </c>
      <c r="B595" s="6" t="s">
        <v>19</v>
      </c>
      <c r="C595" s="7">
        <v>45437</v>
      </c>
      <c r="D595" s="6" t="s">
        <v>17</v>
      </c>
      <c r="E595" s="8">
        <v>4484</v>
      </c>
      <c r="F595" s="8">
        <v>2836</v>
      </c>
      <c r="G595" s="8">
        <v>65</v>
      </c>
      <c r="H595" s="8">
        <v>11</v>
      </c>
      <c r="I595" s="8">
        <v>11</v>
      </c>
      <c r="J595" s="19">
        <f t="shared" si="14"/>
        <v>1.9402319357716323E-2</v>
      </c>
      <c r="K595" s="9">
        <v>3.07</v>
      </c>
      <c r="L595" s="10">
        <f t="shared" si="12"/>
        <v>1.9402319357716323E-2</v>
      </c>
    </row>
    <row r="596" spans="1:12" ht="14.25" customHeight="1" x14ac:dyDescent="0.3">
      <c r="A596" s="6" t="s">
        <v>620</v>
      </c>
      <c r="B596" s="6" t="s">
        <v>16</v>
      </c>
      <c r="C596" s="7">
        <v>45996</v>
      </c>
      <c r="D596" s="6" t="s">
        <v>17</v>
      </c>
      <c r="E596" s="8">
        <v>20916</v>
      </c>
      <c r="F596" s="8">
        <v>12784</v>
      </c>
      <c r="G596" s="8">
        <v>388</v>
      </c>
      <c r="H596" s="8">
        <v>93</v>
      </c>
      <c r="I596" s="8">
        <v>102</v>
      </c>
      <c r="J596" s="19">
        <f t="shared" si="14"/>
        <v>2.7873398355326068E-2</v>
      </c>
      <c r="K596" s="9">
        <v>4.5599999999999996</v>
      </c>
      <c r="L596" s="10">
        <f t="shared" si="12"/>
        <v>2.7873398355326068E-2</v>
      </c>
    </row>
    <row r="597" spans="1:12" ht="14.25" customHeight="1" x14ac:dyDescent="0.3">
      <c r="A597" s="6" t="s">
        <v>621</v>
      </c>
      <c r="B597" s="6" t="s">
        <v>30</v>
      </c>
      <c r="C597" s="7">
        <v>45742</v>
      </c>
      <c r="D597" s="6" t="s">
        <v>25</v>
      </c>
      <c r="E597" s="8">
        <v>5694</v>
      </c>
      <c r="F597" s="8">
        <v>2972</v>
      </c>
      <c r="G597" s="8">
        <v>80</v>
      </c>
      <c r="H597" s="8">
        <v>16</v>
      </c>
      <c r="I597" s="8">
        <v>29</v>
      </c>
      <c r="J597" s="19">
        <f t="shared" si="14"/>
        <v>2.195293291183702E-2</v>
      </c>
      <c r="K597" s="9">
        <v>4.21</v>
      </c>
      <c r="L597" s="10">
        <f t="shared" si="12"/>
        <v>2.195293291183702E-2</v>
      </c>
    </row>
    <row r="598" spans="1:12" ht="14.25" customHeight="1" x14ac:dyDescent="0.3">
      <c r="A598" s="6" t="s">
        <v>622</v>
      </c>
      <c r="B598" s="6" t="s">
        <v>19</v>
      </c>
      <c r="C598" s="7">
        <v>45524</v>
      </c>
      <c r="D598" s="6" t="s">
        <v>17</v>
      </c>
      <c r="E598" s="8">
        <v>19943</v>
      </c>
      <c r="F598" s="8">
        <v>13635</v>
      </c>
      <c r="G598" s="8">
        <v>284</v>
      </c>
      <c r="H598" s="8">
        <v>18</v>
      </c>
      <c r="I598" s="8">
        <v>188</v>
      </c>
      <c r="J598" s="19">
        <f t="shared" si="14"/>
        <v>2.4570024570024569E-2</v>
      </c>
      <c r="K598" s="9">
        <v>3.59</v>
      </c>
      <c r="L598" s="10">
        <f t="shared" si="12"/>
        <v>2.4570024570024569E-2</v>
      </c>
    </row>
    <row r="599" spans="1:12" ht="14.25" customHeight="1" x14ac:dyDescent="0.3">
      <c r="A599" s="6" t="s">
        <v>623</v>
      </c>
      <c r="B599" s="6" t="s">
        <v>16</v>
      </c>
      <c r="C599" s="7">
        <v>45538</v>
      </c>
      <c r="D599" s="6" t="s">
        <v>20</v>
      </c>
      <c r="E599" s="8">
        <v>32370</v>
      </c>
      <c r="F599" s="8">
        <v>19733</v>
      </c>
      <c r="G599" s="8">
        <v>511</v>
      </c>
      <c r="H599" s="8">
        <v>174</v>
      </c>
      <c r="I599" s="8">
        <v>134</v>
      </c>
      <c r="J599" s="19">
        <f t="shared" si="14"/>
        <v>2.5301204819277109E-2</v>
      </c>
      <c r="K599" s="9">
        <v>4.1500000000000004</v>
      </c>
      <c r="L599" s="10">
        <f t="shared" si="12"/>
        <v>2.5301204819277109E-2</v>
      </c>
    </row>
    <row r="600" spans="1:12" ht="14.25" customHeight="1" x14ac:dyDescent="0.3">
      <c r="A600" s="6" t="s">
        <v>624</v>
      </c>
      <c r="B600" s="6" t="s">
        <v>30</v>
      </c>
      <c r="C600" s="7">
        <v>45929</v>
      </c>
      <c r="D600" s="6" t="s">
        <v>14</v>
      </c>
      <c r="E600" s="8">
        <v>3743</v>
      </c>
      <c r="F600" s="8">
        <v>2527</v>
      </c>
      <c r="G600" s="8">
        <v>46</v>
      </c>
      <c r="H600" s="8">
        <v>54</v>
      </c>
      <c r="I600" s="8">
        <v>20</v>
      </c>
      <c r="J600" s="19">
        <f t="shared" si="14"/>
        <v>3.205984504408229E-2</v>
      </c>
      <c r="K600" s="9">
        <v>4.75</v>
      </c>
      <c r="L600" s="10">
        <f t="shared" si="12"/>
        <v>3.205984504408229E-2</v>
      </c>
    </row>
    <row r="601" spans="1:12" ht="14.25" customHeight="1" x14ac:dyDescent="0.3">
      <c r="A601" s="6" t="s">
        <v>625</v>
      </c>
      <c r="B601" s="6" t="s">
        <v>13</v>
      </c>
      <c r="C601" s="7">
        <v>45782</v>
      </c>
      <c r="D601" s="6" t="s">
        <v>25</v>
      </c>
      <c r="E601" s="8">
        <v>985</v>
      </c>
      <c r="F601" s="8">
        <v>595</v>
      </c>
      <c r="G601" s="8">
        <v>12</v>
      </c>
      <c r="H601" s="8">
        <v>11</v>
      </c>
      <c r="I601" s="8">
        <v>16</v>
      </c>
      <c r="J601" s="19">
        <f t="shared" si="14"/>
        <v>3.9593908629441621E-2</v>
      </c>
      <c r="K601" s="9">
        <v>6.55</v>
      </c>
      <c r="L601" s="10">
        <f t="shared" si="12"/>
        <v>3.9593908629441621E-2</v>
      </c>
    </row>
    <row r="602" spans="1:12" ht="14.25" customHeight="1" x14ac:dyDescent="0.3">
      <c r="A602" s="6" t="s">
        <v>626</v>
      </c>
      <c r="B602" s="6" t="s">
        <v>16</v>
      </c>
      <c r="C602" s="7">
        <v>45965</v>
      </c>
      <c r="D602" s="6" t="s">
        <v>25</v>
      </c>
      <c r="E602" s="8">
        <v>59877</v>
      </c>
      <c r="F602" s="8">
        <v>28609</v>
      </c>
      <c r="G602" s="8">
        <v>1482</v>
      </c>
      <c r="H602" s="8">
        <v>114</v>
      </c>
      <c r="I602" s="8">
        <v>34</v>
      </c>
      <c r="J602" s="19">
        <f t="shared" si="14"/>
        <v>2.7222472735775004E-2</v>
      </c>
      <c r="K602" s="9">
        <v>5.7</v>
      </c>
      <c r="L602" s="10">
        <f t="shared" si="12"/>
        <v>2.7222472735775004E-2</v>
      </c>
    </row>
    <row r="603" spans="1:12" ht="14.25" customHeight="1" x14ac:dyDescent="0.3">
      <c r="A603" s="6" t="s">
        <v>627</v>
      </c>
      <c r="B603" s="6" t="s">
        <v>19</v>
      </c>
      <c r="C603" s="7">
        <v>45551</v>
      </c>
      <c r="D603" s="6" t="s">
        <v>14</v>
      </c>
      <c r="E603" s="8">
        <v>13715</v>
      </c>
      <c r="F603" s="8">
        <v>9874</v>
      </c>
      <c r="G603" s="8">
        <v>126</v>
      </c>
      <c r="H603" s="8">
        <v>78</v>
      </c>
      <c r="I603" s="8">
        <v>183</v>
      </c>
      <c r="J603" s="19">
        <f t="shared" si="14"/>
        <v>2.821728034998177E-2</v>
      </c>
      <c r="K603" s="9">
        <v>3.92</v>
      </c>
      <c r="L603" s="10">
        <f t="shared" si="12"/>
        <v>2.821728034998177E-2</v>
      </c>
    </row>
    <row r="604" spans="1:12" ht="14.25" customHeight="1" x14ac:dyDescent="0.3">
      <c r="A604" s="6" t="s">
        <v>628</v>
      </c>
      <c r="B604" s="6" t="s">
        <v>13</v>
      </c>
      <c r="C604" s="7">
        <v>45751</v>
      </c>
      <c r="D604" s="6" t="s">
        <v>20</v>
      </c>
      <c r="E604" s="8">
        <v>64617</v>
      </c>
      <c r="F604" s="8">
        <v>29828</v>
      </c>
      <c r="G604" s="8">
        <v>1223</v>
      </c>
      <c r="H604" s="8">
        <v>462</v>
      </c>
      <c r="I604" s="8">
        <v>805</v>
      </c>
      <c r="J604" s="19">
        <f t="shared" si="14"/>
        <v>3.8534750916941363E-2</v>
      </c>
      <c r="K604" s="9">
        <v>8.35</v>
      </c>
      <c r="L604" s="10">
        <f t="shared" si="12"/>
        <v>3.8534750916941363E-2</v>
      </c>
    </row>
    <row r="605" spans="1:12" ht="14.25" customHeight="1" x14ac:dyDescent="0.3">
      <c r="A605" s="6" t="s">
        <v>629</v>
      </c>
      <c r="B605" s="6" t="s">
        <v>19</v>
      </c>
      <c r="C605" s="7">
        <v>45865</v>
      </c>
      <c r="D605" s="6" t="s">
        <v>20</v>
      </c>
      <c r="E605" s="8">
        <v>51684</v>
      </c>
      <c r="F605" s="8">
        <v>33219</v>
      </c>
      <c r="G605" s="8">
        <v>461</v>
      </c>
      <c r="H605" s="8">
        <v>233</v>
      </c>
      <c r="I605" s="8">
        <v>575</v>
      </c>
      <c r="J605" s="19">
        <f t="shared" si="14"/>
        <v>2.4553053169259344E-2</v>
      </c>
      <c r="K605" s="9">
        <v>3.82</v>
      </c>
      <c r="L605" s="10">
        <f t="shared" si="12"/>
        <v>2.4553053169259344E-2</v>
      </c>
    </row>
    <row r="606" spans="1:12" ht="14.25" customHeight="1" x14ac:dyDescent="0.3">
      <c r="A606" s="6" t="s">
        <v>630</v>
      </c>
      <c r="B606" s="6" t="s">
        <v>30</v>
      </c>
      <c r="C606" s="7">
        <v>45807</v>
      </c>
      <c r="D606" s="6" t="s">
        <v>14</v>
      </c>
      <c r="E606" s="8">
        <v>12490</v>
      </c>
      <c r="F606" s="8">
        <v>5469</v>
      </c>
      <c r="G606" s="8">
        <v>277</v>
      </c>
      <c r="H606" s="8">
        <v>108</v>
      </c>
      <c r="I606" s="8">
        <v>34</v>
      </c>
      <c r="J606" s="19">
        <f t="shared" si="14"/>
        <v>3.3546837469975978E-2</v>
      </c>
      <c r="K606" s="9">
        <v>7.66</v>
      </c>
      <c r="L606" s="10">
        <f t="shared" si="12"/>
        <v>3.3546837469975978E-2</v>
      </c>
    </row>
    <row r="607" spans="1:12" ht="14.25" customHeight="1" x14ac:dyDescent="0.3">
      <c r="A607" s="6" t="s">
        <v>631</v>
      </c>
      <c r="B607" s="6" t="s">
        <v>30</v>
      </c>
      <c r="C607" s="7">
        <v>45812</v>
      </c>
      <c r="D607" s="6" t="s">
        <v>25</v>
      </c>
      <c r="E607" s="8">
        <v>23813</v>
      </c>
      <c r="F607" s="8">
        <v>9670</v>
      </c>
      <c r="G607" s="8">
        <v>159</v>
      </c>
      <c r="H607" s="8">
        <v>65</v>
      </c>
      <c r="I607" s="8">
        <v>74</v>
      </c>
      <c r="J607" s="19">
        <f t="shared" si="14"/>
        <v>1.251417293075211E-2</v>
      </c>
      <c r="K607" s="9">
        <v>3.08</v>
      </c>
      <c r="L607" s="10">
        <f t="shared" si="12"/>
        <v>1.251417293075211E-2</v>
      </c>
    </row>
    <row r="608" spans="1:12" ht="14.25" customHeight="1" x14ac:dyDescent="0.3">
      <c r="A608" s="6" t="s">
        <v>632</v>
      </c>
      <c r="B608" s="6" t="s">
        <v>22</v>
      </c>
      <c r="C608" s="7">
        <v>45410</v>
      </c>
      <c r="D608" s="6" t="s">
        <v>23</v>
      </c>
      <c r="E608" s="8">
        <v>257734</v>
      </c>
      <c r="F608" s="8">
        <v>167895</v>
      </c>
      <c r="G608" s="8">
        <v>5785</v>
      </c>
      <c r="H608" s="8">
        <v>1085</v>
      </c>
      <c r="I608" s="8">
        <v>6677</v>
      </c>
      <c r="J608" s="19">
        <f t="shared" si="14"/>
        <v>5.2561943709405819E-2</v>
      </c>
      <c r="K608" s="9">
        <v>8.07</v>
      </c>
      <c r="L608" s="10">
        <f t="shared" si="12"/>
        <v>5.2561943709405819E-2</v>
      </c>
    </row>
    <row r="609" spans="1:12" ht="14.25" customHeight="1" x14ac:dyDescent="0.3">
      <c r="A609" s="6" t="s">
        <v>633</v>
      </c>
      <c r="B609" s="6" t="s">
        <v>22</v>
      </c>
      <c r="C609" s="7">
        <v>45561</v>
      </c>
      <c r="D609" s="6" t="s">
        <v>20</v>
      </c>
      <c r="E609" s="8">
        <v>23805</v>
      </c>
      <c r="F609" s="8">
        <v>12937</v>
      </c>
      <c r="G609" s="8">
        <v>946</v>
      </c>
      <c r="H609" s="8">
        <v>138</v>
      </c>
      <c r="I609" s="8">
        <v>332</v>
      </c>
      <c r="J609" s="19">
        <f t="shared" si="14"/>
        <v>5.9483301827347193E-2</v>
      </c>
      <c r="K609" s="9">
        <v>10.95</v>
      </c>
      <c r="L609" s="10">
        <f t="shared" si="12"/>
        <v>5.9483301827347193E-2</v>
      </c>
    </row>
    <row r="610" spans="1:12" ht="14.25" customHeight="1" x14ac:dyDescent="0.3">
      <c r="A610" s="6" t="s">
        <v>634</v>
      </c>
      <c r="B610" s="6" t="s">
        <v>22</v>
      </c>
      <c r="C610" s="7">
        <v>45798</v>
      </c>
      <c r="D610" s="6" t="s">
        <v>23</v>
      </c>
      <c r="E610" s="8">
        <v>225861</v>
      </c>
      <c r="F610" s="8">
        <v>80749</v>
      </c>
      <c r="G610" s="8">
        <v>8334</v>
      </c>
      <c r="H610" s="8">
        <v>2281</v>
      </c>
      <c r="I610" s="8">
        <v>2464</v>
      </c>
      <c r="J610" s="19">
        <f t="shared" si="14"/>
        <v>5.7907296965832966E-2</v>
      </c>
      <c r="K610" s="9">
        <v>16.2</v>
      </c>
      <c r="L610" s="10">
        <f t="shared" si="12"/>
        <v>5.7907296965832966E-2</v>
      </c>
    </row>
    <row r="611" spans="1:12" ht="14.25" customHeight="1" x14ac:dyDescent="0.3">
      <c r="A611" s="6" t="s">
        <v>635</v>
      </c>
      <c r="B611" s="6" t="s">
        <v>16</v>
      </c>
      <c r="C611" s="7">
        <v>45886</v>
      </c>
      <c r="D611" s="6" t="s">
        <v>23</v>
      </c>
      <c r="E611" s="8">
        <v>32439</v>
      </c>
      <c r="F611" s="8">
        <v>24893</v>
      </c>
      <c r="G611" s="8">
        <v>1522</v>
      </c>
      <c r="H611" s="8">
        <v>250</v>
      </c>
      <c r="I611" s="8">
        <v>126</v>
      </c>
      <c r="J611" s="19">
        <f t="shared" si="14"/>
        <v>5.8509818428434911E-2</v>
      </c>
      <c r="K611" s="9">
        <v>7.62</v>
      </c>
      <c r="L611" s="10">
        <f t="shared" si="12"/>
        <v>5.8509818428434911E-2</v>
      </c>
    </row>
    <row r="612" spans="1:12" ht="14.25" customHeight="1" x14ac:dyDescent="0.3">
      <c r="A612" s="6" t="s">
        <v>636</v>
      </c>
      <c r="B612" s="6" t="s">
        <v>16</v>
      </c>
      <c r="C612" s="7">
        <v>45473</v>
      </c>
      <c r="D612" s="6" t="s">
        <v>25</v>
      </c>
      <c r="E612" s="8">
        <v>57901</v>
      </c>
      <c r="F612" s="8">
        <v>37650</v>
      </c>
      <c r="G612" s="8">
        <v>1623</v>
      </c>
      <c r="H612" s="8">
        <v>445</v>
      </c>
      <c r="I612" s="8">
        <v>126</v>
      </c>
      <c r="J612" s="19">
        <f t="shared" si="14"/>
        <v>3.7892264382307729E-2</v>
      </c>
      <c r="K612" s="9">
        <v>5.83</v>
      </c>
      <c r="L612" s="10">
        <f t="shared" si="12"/>
        <v>3.7892264382307729E-2</v>
      </c>
    </row>
    <row r="613" spans="1:12" ht="14.25" customHeight="1" x14ac:dyDescent="0.3">
      <c r="A613" s="6" t="s">
        <v>637</v>
      </c>
      <c r="B613" s="6" t="s">
        <v>30</v>
      </c>
      <c r="C613" s="7">
        <v>45794</v>
      </c>
      <c r="D613" s="6" t="s">
        <v>25</v>
      </c>
      <c r="E613" s="8">
        <v>19096</v>
      </c>
      <c r="F613" s="8">
        <v>11955</v>
      </c>
      <c r="G613" s="8">
        <v>182</v>
      </c>
      <c r="H613" s="8">
        <v>270</v>
      </c>
      <c r="I613" s="8">
        <v>159</v>
      </c>
      <c r="J613" s="19">
        <f t="shared" si="14"/>
        <v>3.1996229576874737E-2</v>
      </c>
      <c r="K613" s="9">
        <v>5.1100000000000003</v>
      </c>
      <c r="L613" s="10">
        <f t="shared" si="12"/>
        <v>3.1996229576874737E-2</v>
      </c>
    </row>
    <row r="614" spans="1:12" ht="14.25" customHeight="1" x14ac:dyDescent="0.3">
      <c r="A614" s="6" t="s">
        <v>638</v>
      </c>
      <c r="B614" s="6" t="s">
        <v>16</v>
      </c>
      <c r="C614" s="7">
        <v>45423</v>
      </c>
      <c r="D614" s="6" t="s">
        <v>17</v>
      </c>
      <c r="E614" s="8">
        <v>4308</v>
      </c>
      <c r="F614" s="8">
        <v>2949</v>
      </c>
      <c r="G614" s="8">
        <v>143</v>
      </c>
      <c r="H614" s="8">
        <v>12</v>
      </c>
      <c r="I614" s="8">
        <v>16</v>
      </c>
      <c r="J614" s="19">
        <f t="shared" si="14"/>
        <v>3.9693593314763229E-2</v>
      </c>
      <c r="K614" s="9">
        <v>5.8</v>
      </c>
      <c r="L614" s="10">
        <f t="shared" si="12"/>
        <v>3.9693593314763229E-2</v>
      </c>
    </row>
    <row r="615" spans="1:12" ht="14.25" customHeight="1" x14ac:dyDescent="0.3">
      <c r="A615" s="6" t="s">
        <v>639</v>
      </c>
      <c r="B615" s="6" t="s">
        <v>22</v>
      </c>
      <c r="C615" s="7">
        <v>45771</v>
      </c>
      <c r="D615" s="6" t="s">
        <v>23</v>
      </c>
      <c r="E615" s="8">
        <v>374495</v>
      </c>
      <c r="F615" s="8">
        <v>174291</v>
      </c>
      <c r="G615" s="8">
        <v>13416</v>
      </c>
      <c r="H615" s="8">
        <v>3573</v>
      </c>
      <c r="I615" s="8">
        <v>8458</v>
      </c>
      <c r="J615" s="19">
        <f t="shared" si="14"/>
        <v>6.7950172899504668E-2</v>
      </c>
      <c r="K615" s="9">
        <v>14.6</v>
      </c>
      <c r="L615" s="10">
        <f t="shared" si="12"/>
        <v>6.7950172899504668E-2</v>
      </c>
    </row>
    <row r="616" spans="1:12" ht="14.25" customHeight="1" x14ac:dyDescent="0.3">
      <c r="A616" s="6" t="s">
        <v>640</v>
      </c>
      <c r="B616" s="6" t="s">
        <v>22</v>
      </c>
      <c r="C616" s="7">
        <v>45852</v>
      </c>
      <c r="D616" s="6" t="s">
        <v>23</v>
      </c>
      <c r="E616" s="8">
        <v>305982</v>
      </c>
      <c r="F616" s="8">
        <v>126621</v>
      </c>
      <c r="G616" s="8">
        <v>6294</v>
      </c>
      <c r="H616" s="8">
        <v>1307</v>
      </c>
      <c r="I616" s="8">
        <v>2027</v>
      </c>
      <c r="J616" s="19">
        <f t="shared" si="14"/>
        <v>3.146590322306541E-2</v>
      </c>
      <c r="K616" s="9">
        <v>7.6</v>
      </c>
      <c r="L616" s="10">
        <f t="shared" si="12"/>
        <v>3.146590322306541E-2</v>
      </c>
    </row>
    <row r="617" spans="1:12" ht="14.25" customHeight="1" x14ac:dyDescent="0.3">
      <c r="A617" s="6" t="s">
        <v>641</v>
      </c>
      <c r="B617" s="6" t="s">
        <v>16</v>
      </c>
      <c r="C617" s="7">
        <v>46005</v>
      </c>
      <c r="D617" s="6" t="s">
        <v>20</v>
      </c>
      <c r="E617" s="8">
        <v>78081</v>
      </c>
      <c r="F617" s="8">
        <v>46642</v>
      </c>
      <c r="G617" s="8">
        <v>1676</v>
      </c>
      <c r="H617" s="8">
        <v>643</v>
      </c>
      <c r="I617" s="8">
        <v>228</v>
      </c>
      <c r="J617" s="19">
        <f t="shared" si="14"/>
        <v>3.2619971567987092E-2</v>
      </c>
      <c r="K617" s="9">
        <v>5.46</v>
      </c>
      <c r="L617" s="10">
        <f t="shared" si="12"/>
        <v>3.2619971567987092E-2</v>
      </c>
    </row>
    <row r="618" spans="1:12" ht="14.25" customHeight="1" x14ac:dyDescent="0.3">
      <c r="A618" s="6" t="s">
        <v>642</v>
      </c>
      <c r="B618" s="6" t="s">
        <v>13</v>
      </c>
      <c r="C618" s="7">
        <v>45447</v>
      </c>
      <c r="D618" s="6" t="s">
        <v>14</v>
      </c>
      <c r="E618" s="8">
        <v>5666</v>
      </c>
      <c r="F618" s="8">
        <v>2551</v>
      </c>
      <c r="G618" s="8">
        <v>121</v>
      </c>
      <c r="H618" s="8">
        <v>24</v>
      </c>
      <c r="I618" s="8">
        <v>59</v>
      </c>
      <c r="J618" s="19">
        <f t="shared" si="14"/>
        <v>3.6004235792446167E-2</v>
      </c>
      <c r="K618" s="9">
        <v>8</v>
      </c>
      <c r="L618" s="10">
        <f t="shared" si="12"/>
        <v>3.6004235792446167E-2</v>
      </c>
    </row>
    <row r="619" spans="1:12" ht="14.25" customHeight="1" x14ac:dyDescent="0.3">
      <c r="A619" s="6" t="s">
        <v>643</v>
      </c>
      <c r="B619" s="6" t="s">
        <v>22</v>
      </c>
      <c r="C619" s="7">
        <v>45705</v>
      </c>
      <c r="D619" s="6" t="s">
        <v>20</v>
      </c>
      <c r="E619" s="8">
        <v>282470</v>
      </c>
      <c r="F619" s="8">
        <v>186650</v>
      </c>
      <c r="G619" s="8">
        <v>9599</v>
      </c>
      <c r="H619" s="8">
        <v>3836</v>
      </c>
      <c r="I619" s="8">
        <v>7693</v>
      </c>
      <c r="J619" s="19">
        <f t="shared" si="14"/>
        <v>7.4797323609586852E-2</v>
      </c>
      <c r="K619" s="9">
        <v>11.32</v>
      </c>
      <c r="L619" s="10">
        <f t="shared" si="12"/>
        <v>7.4797323609586852E-2</v>
      </c>
    </row>
    <row r="620" spans="1:12" ht="14.25" customHeight="1" x14ac:dyDescent="0.3">
      <c r="A620" s="6" t="s">
        <v>644</v>
      </c>
      <c r="B620" s="6" t="s">
        <v>13</v>
      </c>
      <c r="C620" s="7">
        <v>45634</v>
      </c>
      <c r="D620" s="6" t="s">
        <v>17</v>
      </c>
      <c r="E620" s="8">
        <v>8276</v>
      </c>
      <c r="F620" s="8">
        <v>4573</v>
      </c>
      <c r="G620" s="8">
        <v>96</v>
      </c>
      <c r="H620" s="8">
        <v>75</v>
      </c>
      <c r="I620" s="8">
        <v>90</v>
      </c>
      <c r="J620" s="19">
        <f t="shared" si="14"/>
        <v>3.1536974383760269E-2</v>
      </c>
      <c r="K620" s="9">
        <v>5.71</v>
      </c>
      <c r="L620" s="10">
        <f t="shared" si="12"/>
        <v>3.1536974383760269E-2</v>
      </c>
    </row>
    <row r="621" spans="1:12" ht="14.25" customHeight="1" x14ac:dyDescent="0.3">
      <c r="A621" s="6" t="s">
        <v>645</v>
      </c>
      <c r="B621" s="6" t="s">
        <v>19</v>
      </c>
      <c r="C621" s="7">
        <v>45696</v>
      </c>
      <c r="D621" s="6" t="s">
        <v>17</v>
      </c>
      <c r="E621" s="8">
        <v>14687</v>
      </c>
      <c r="F621" s="8">
        <v>11612</v>
      </c>
      <c r="G621" s="8">
        <v>127</v>
      </c>
      <c r="H621" s="8">
        <v>23</v>
      </c>
      <c r="I621" s="8">
        <v>63</v>
      </c>
      <c r="J621" s="19">
        <f t="shared" si="14"/>
        <v>1.450262136583373E-2</v>
      </c>
      <c r="K621" s="9">
        <v>1.83</v>
      </c>
      <c r="L621" s="10">
        <f t="shared" si="12"/>
        <v>1.450262136583373E-2</v>
      </c>
    </row>
    <row r="622" spans="1:12" ht="14.25" customHeight="1" x14ac:dyDescent="0.3">
      <c r="A622" s="6" t="s">
        <v>646</v>
      </c>
      <c r="B622" s="6" t="s">
        <v>19</v>
      </c>
      <c r="C622" s="7">
        <v>45574</v>
      </c>
      <c r="D622" s="6" t="s">
        <v>14</v>
      </c>
      <c r="E622" s="8">
        <v>8640</v>
      </c>
      <c r="F622" s="8">
        <v>6048</v>
      </c>
      <c r="G622" s="8">
        <v>127</v>
      </c>
      <c r="H622" s="8">
        <v>38</v>
      </c>
      <c r="I622" s="8">
        <v>53</v>
      </c>
      <c r="J622" s="19">
        <f t="shared" si="14"/>
        <v>2.5231481481481483E-2</v>
      </c>
      <c r="K622" s="9">
        <v>3.6</v>
      </c>
      <c r="L622" s="10">
        <f t="shared" si="12"/>
        <v>2.5231481481481483E-2</v>
      </c>
    </row>
    <row r="623" spans="1:12" ht="14.25" customHeight="1" x14ac:dyDescent="0.3">
      <c r="A623" s="6" t="s">
        <v>647</v>
      </c>
      <c r="B623" s="6" t="s">
        <v>30</v>
      </c>
      <c r="C623" s="7">
        <v>45983</v>
      </c>
      <c r="D623" s="6" t="s">
        <v>14</v>
      </c>
      <c r="E623" s="8">
        <v>11681</v>
      </c>
      <c r="F623" s="8">
        <v>8863</v>
      </c>
      <c r="G623" s="8">
        <v>407</v>
      </c>
      <c r="H623" s="8">
        <v>183</v>
      </c>
      <c r="I623" s="8">
        <v>71</v>
      </c>
      <c r="J623" s="19">
        <f t="shared" si="14"/>
        <v>5.6587620922866191E-2</v>
      </c>
      <c r="K623" s="9">
        <v>7.46</v>
      </c>
      <c r="L623" s="10">
        <f t="shared" si="12"/>
        <v>5.6587620922866191E-2</v>
      </c>
    </row>
    <row r="624" spans="1:12" ht="14.25" customHeight="1" x14ac:dyDescent="0.3">
      <c r="A624" s="6" t="s">
        <v>648</v>
      </c>
      <c r="B624" s="6" t="s">
        <v>22</v>
      </c>
      <c r="C624" s="7">
        <v>45747</v>
      </c>
      <c r="D624" s="6" t="s">
        <v>20</v>
      </c>
      <c r="E624" s="8">
        <v>382426</v>
      </c>
      <c r="F624" s="8">
        <v>151935</v>
      </c>
      <c r="G624" s="8">
        <v>17874</v>
      </c>
      <c r="H624" s="8">
        <v>1085</v>
      </c>
      <c r="I624" s="8">
        <v>1646</v>
      </c>
      <c r="J624" s="19">
        <f t="shared" si="14"/>
        <v>5.3879704831784447E-2</v>
      </c>
      <c r="K624" s="9">
        <v>13.56</v>
      </c>
      <c r="L624" s="10">
        <f t="shared" si="12"/>
        <v>5.3879704831784447E-2</v>
      </c>
    </row>
    <row r="625" spans="1:12" ht="14.25" customHeight="1" x14ac:dyDescent="0.3">
      <c r="A625" s="6" t="s">
        <v>649</v>
      </c>
      <c r="B625" s="6" t="s">
        <v>19</v>
      </c>
      <c r="C625" s="7">
        <v>45322</v>
      </c>
      <c r="D625" s="6" t="s">
        <v>17</v>
      </c>
      <c r="E625" s="8">
        <v>4755</v>
      </c>
      <c r="F625" s="8">
        <v>4004</v>
      </c>
      <c r="G625" s="8">
        <v>36</v>
      </c>
      <c r="H625" s="8">
        <v>12</v>
      </c>
      <c r="I625" s="8">
        <v>30</v>
      </c>
      <c r="J625" s="19">
        <f t="shared" si="14"/>
        <v>1.6403785488958992E-2</v>
      </c>
      <c r="K625" s="9">
        <v>1.95</v>
      </c>
      <c r="L625" s="10">
        <f t="shared" si="12"/>
        <v>1.6403785488958992E-2</v>
      </c>
    </row>
    <row r="626" spans="1:12" ht="14.25" customHeight="1" x14ac:dyDescent="0.3">
      <c r="A626" s="6" t="s">
        <v>650</v>
      </c>
      <c r="B626" s="6" t="s">
        <v>19</v>
      </c>
      <c r="C626" s="7">
        <v>45556</v>
      </c>
      <c r="D626" s="6" t="s">
        <v>20</v>
      </c>
      <c r="E626" s="8">
        <v>56581</v>
      </c>
      <c r="F626" s="8">
        <v>39633</v>
      </c>
      <c r="G626" s="8">
        <v>457</v>
      </c>
      <c r="H626" s="8">
        <v>260</v>
      </c>
      <c r="I626" s="8">
        <v>237</v>
      </c>
      <c r="J626" s="19">
        <f t="shared" si="14"/>
        <v>1.6860783655290645E-2</v>
      </c>
      <c r="K626" s="9">
        <v>2.41</v>
      </c>
      <c r="L626" s="10">
        <f t="shared" si="12"/>
        <v>1.6860783655290645E-2</v>
      </c>
    </row>
    <row r="627" spans="1:12" ht="14.25" customHeight="1" x14ac:dyDescent="0.3">
      <c r="A627" s="6" t="s">
        <v>651</v>
      </c>
      <c r="B627" s="6" t="s">
        <v>19</v>
      </c>
      <c r="C627" s="7">
        <v>45382</v>
      </c>
      <c r="D627" s="6" t="s">
        <v>14</v>
      </c>
      <c r="E627" s="8">
        <v>13892</v>
      </c>
      <c r="F627" s="8">
        <v>9761</v>
      </c>
      <c r="G627" s="8">
        <v>108</v>
      </c>
      <c r="H627" s="8">
        <v>71</v>
      </c>
      <c r="I627" s="8">
        <v>142</v>
      </c>
      <c r="J627" s="19">
        <f t="shared" si="14"/>
        <v>2.3106824071408006E-2</v>
      </c>
      <c r="K627" s="9">
        <v>3.29</v>
      </c>
      <c r="L627" s="10">
        <f t="shared" si="12"/>
        <v>2.3106824071408006E-2</v>
      </c>
    </row>
    <row r="628" spans="1:12" ht="14.25" customHeight="1" x14ac:dyDescent="0.3">
      <c r="A628" s="6" t="s">
        <v>652</v>
      </c>
      <c r="B628" s="6" t="s">
        <v>16</v>
      </c>
      <c r="C628" s="7">
        <v>45543</v>
      </c>
      <c r="D628" s="6" t="s">
        <v>25</v>
      </c>
      <c r="E628" s="8">
        <v>66709</v>
      </c>
      <c r="F628" s="8">
        <v>49001</v>
      </c>
      <c r="G628" s="8">
        <v>1938</v>
      </c>
      <c r="H628" s="8">
        <v>402</v>
      </c>
      <c r="I628" s="8">
        <v>197</v>
      </c>
      <c r="J628" s="19">
        <f t="shared" si="14"/>
        <v>3.8030850409989658E-2</v>
      </c>
      <c r="K628" s="9">
        <v>5.18</v>
      </c>
      <c r="L628" s="10">
        <f t="shared" si="12"/>
        <v>3.8030850409989658E-2</v>
      </c>
    </row>
    <row r="629" spans="1:12" ht="14.25" customHeight="1" x14ac:dyDescent="0.3">
      <c r="A629" s="6" t="s">
        <v>653</v>
      </c>
      <c r="B629" s="6" t="s">
        <v>16</v>
      </c>
      <c r="C629" s="7">
        <v>45392</v>
      </c>
      <c r="D629" s="6" t="s">
        <v>17</v>
      </c>
      <c r="E629" s="8">
        <v>24231</v>
      </c>
      <c r="F629" s="8">
        <v>17799</v>
      </c>
      <c r="G629" s="8">
        <v>556</v>
      </c>
      <c r="H629" s="8">
        <v>245</v>
      </c>
      <c r="I629" s="8">
        <v>128</v>
      </c>
      <c r="J629" s="19">
        <f t="shared" si="14"/>
        <v>3.8339317403326315E-2</v>
      </c>
      <c r="K629" s="9">
        <v>5.22</v>
      </c>
      <c r="L629" s="10">
        <f t="shared" si="12"/>
        <v>3.8339317403326315E-2</v>
      </c>
    </row>
    <row r="630" spans="1:12" ht="14.25" customHeight="1" x14ac:dyDescent="0.3">
      <c r="A630" s="6" t="s">
        <v>654</v>
      </c>
      <c r="B630" s="6" t="s">
        <v>19</v>
      </c>
      <c r="C630" s="7">
        <v>45431</v>
      </c>
      <c r="D630" s="6" t="s">
        <v>20</v>
      </c>
      <c r="E630" s="8">
        <v>30676</v>
      </c>
      <c r="F630" s="8">
        <v>22601</v>
      </c>
      <c r="G630" s="8">
        <v>580</v>
      </c>
      <c r="H630" s="8">
        <v>37</v>
      </c>
      <c r="I630" s="8">
        <v>284</v>
      </c>
      <c r="J630" s="19">
        <f t="shared" si="14"/>
        <v>2.9371495631764246E-2</v>
      </c>
      <c r="K630" s="9">
        <v>3.99</v>
      </c>
      <c r="L630" s="10">
        <f t="shared" si="12"/>
        <v>2.9371495631764246E-2</v>
      </c>
    </row>
    <row r="631" spans="1:12" ht="14.25" customHeight="1" x14ac:dyDescent="0.3">
      <c r="A631" s="6" t="s">
        <v>655</v>
      </c>
      <c r="B631" s="6" t="s">
        <v>16</v>
      </c>
      <c r="C631" s="7">
        <v>45952</v>
      </c>
      <c r="D631" s="6" t="s">
        <v>23</v>
      </c>
      <c r="E631" s="8">
        <v>43458</v>
      </c>
      <c r="F631" s="8">
        <v>22086</v>
      </c>
      <c r="G631" s="8">
        <v>806</v>
      </c>
      <c r="H631" s="8">
        <v>132</v>
      </c>
      <c r="I631" s="8">
        <v>155</v>
      </c>
      <c r="J631" s="19">
        <f t="shared" si="14"/>
        <v>2.5150720235629802E-2</v>
      </c>
      <c r="K631" s="9">
        <v>4.95</v>
      </c>
      <c r="L631" s="10">
        <f t="shared" si="12"/>
        <v>2.5150720235629802E-2</v>
      </c>
    </row>
    <row r="632" spans="1:12" ht="14.25" customHeight="1" x14ac:dyDescent="0.3">
      <c r="A632" s="6" t="s">
        <v>656</v>
      </c>
      <c r="B632" s="6" t="s">
        <v>16</v>
      </c>
      <c r="C632" s="7">
        <v>45618</v>
      </c>
      <c r="D632" s="6" t="s">
        <v>17</v>
      </c>
      <c r="E632" s="8">
        <v>24339</v>
      </c>
      <c r="F632" s="8">
        <v>11601</v>
      </c>
      <c r="G632" s="8">
        <v>686</v>
      </c>
      <c r="H632" s="8">
        <v>112</v>
      </c>
      <c r="I632" s="8">
        <v>107</v>
      </c>
      <c r="J632" s="19">
        <f t="shared" si="14"/>
        <v>3.718312173877316E-2</v>
      </c>
      <c r="K632" s="9">
        <v>7.8</v>
      </c>
      <c r="L632" s="10">
        <f t="shared" si="12"/>
        <v>3.718312173877316E-2</v>
      </c>
    </row>
    <row r="633" spans="1:12" ht="14.25" customHeight="1" x14ac:dyDescent="0.3">
      <c r="A633" s="6" t="s">
        <v>657</v>
      </c>
      <c r="B633" s="6" t="s">
        <v>19</v>
      </c>
      <c r="C633" s="7">
        <v>45306</v>
      </c>
      <c r="D633" s="6" t="s">
        <v>17</v>
      </c>
      <c r="E633" s="8">
        <v>23608</v>
      </c>
      <c r="F633" s="8">
        <v>14578</v>
      </c>
      <c r="G633" s="8">
        <v>419</v>
      </c>
      <c r="H633" s="8">
        <v>103</v>
      </c>
      <c r="I633" s="8">
        <v>210</v>
      </c>
      <c r="J633" s="19">
        <f t="shared" si="14"/>
        <v>3.1006438495425278E-2</v>
      </c>
      <c r="K633" s="9">
        <v>5.0199999999999996</v>
      </c>
      <c r="L633" s="10">
        <f t="shared" si="12"/>
        <v>3.1006438495425278E-2</v>
      </c>
    </row>
    <row r="634" spans="1:12" ht="14.25" customHeight="1" x14ac:dyDescent="0.3">
      <c r="A634" s="6" t="s">
        <v>658</v>
      </c>
      <c r="B634" s="6" t="s">
        <v>13</v>
      </c>
      <c r="C634" s="7">
        <v>45776</v>
      </c>
      <c r="D634" s="6" t="s">
        <v>14</v>
      </c>
      <c r="E634" s="8">
        <v>3498</v>
      </c>
      <c r="F634" s="8">
        <v>2312</v>
      </c>
      <c r="G634" s="8">
        <v>77</v>
      </c>
      <c r="H634" s="8">
        <v>18</v>
      </c>
      <c r="I634" s="8">
        <v>53</v>
      </c>
      <c r="J634" s="19">
        <f t="shared" si="14"/>
        <v>4.2309891366495142E-2</v>
      </c>
      <c r="K634" s="9">
        <v>6.4</v>
      </c>
      <c r="L634" s="10">
        <f t="shared" si="12"/>
        <v>4.2309891366495142E-2</v>
      </c>
    </row>
    <row r="635" spans="1:12" ht="14.25" customHeight="1" x14ac:dyDescent="0.3">
      <c r="A635" s="6" t="s">
        <v>659</v>
      </c>
      <c r="B635" s="6" t="s">
        <v>19</v>
      </c>
      <c r="C635" s="7">
        <v>45585</v>
      </c>
      <c r="D635" s="6" t="s">
        <v>14</v>
      </c>
      <c r="E635" s="8">
        <v>11898</v>
      </c>
      <c r="F635" s="8">
        <v>10271</v>
      </c>
      <c r="G635" s="8">
        <v>276</v>
      </c>
      <c r="H635" s="8">
        <v>51</v>
      </c>
      <c r="I635" s="8">
        <v>155</v>
      </c>
      <c r="J635" s="19">
        <f t="shared" si="14"/>
        <v>4.051101025382417E-2</v>
      </c>
      <c r="K635" s="9">
        <v>4.6900000000000004</v>
      </c>
      <c r="L635" s="10">
        <f t="shared" si="12"/>
        <v>4.051101025382417E-2</v>
      </c>
    </row>
    <row r="636" spans="1:12" ht="14.25" customHeight="1" x14ac:dyDescent="0.3">
      <c r="A636" s="6" t="s">
        <v>660</v>
      </c>
      <c r="B636" s="6" t="s">
        <v>30</v>
      </c>
      <c r="C636" s="7">
        <v>45807</v>
      </c>
      <c r="D636" s="6" t="s">
        <v>14</v>
      </c>
      <c r="E636" s="8">
        <v>2644</v>
      </c>
      <c r="F636" s="8">
        <v>1864</v>
      </c>
      <c r="G636" s="8">
        <v>34</v>
      </c>
      <c r="H636" s="8">
        <v>17</v>
      </c>
      <c r="I636" s="8">
        <v>20</v>
      </c>
      <c r="J636" s="19">
        <f t="shared" si="14"/>
        <v>2.6853252647503781E-2</v>
      </c>
      <c r="K636" s="9">
        <v>3.81</v>
      </c>
      <c r="L636" s="10">
        <f t="shared" si="12"/>
        <v>2.6853252647503781E-2</v>
      </c>
    </row>
    <row r="637" spans="1:12" ht="14.25" customHeight="1" x14ac:dyDescent="0.3">
      <c r="A637" s="6" t="s">
        <v>661</v>
      </c>
      <c r="B637" s="6" t="s">
        <v>30</v>
      </c>
      <c r="C637" s="7">
        <v>45780</v>
      </c>
      <c r="D637" s="6" t="s">
        <v>25</v>
      </c>
      <c r="E637" s="8">
        <v>16074</v>
      </c>
      <c r="F637" s="8">
        <v>7842</v>
      </c>
      <c r="G637" s="8">
        <v>276</v>
      </c>
      <c r="H637" s="8">
        <v>105</v>
      </c>
      <c r="I637" s="8">
        <v>84</v>
      </c>
      <c r="J637" s="19">
        <f t="shared" si="14"/>
        <v>2.8928704740574841E-2</v>
      </c>
      <c r="K637" s="9">
        <v>5.93</v>
      </c>
      <c r="L637" s="10">
        <f t="shared" si="12"/>
        <v>2.8928704740574841E-2</v>
      </c>
    </row>
    <row r="638" spans="1:12" ht="14.25" customHeight="1" x14ac:dyDescent="0.3">
      <c r="A638" s="6" t="s">
        <v>662</v>
      </c>
      <c r="B638" s="6" t="s">
        <v>16</v>
      </c>
      <c r="C638" s="7">
        <v>45836</v>
      </c>
      <c r="D638" s="6" t="s">
        <v>17</v>
      </c>
      <c r="E638" s="8">
        <v>5607</v>
      </c>
      <c r="F638" s="8">
        <v>3909</v>
      </c>
      <c r="G638" s="8">
        <v>251</v>
      </c>
      <c r="H638" s="8">
        <v>37</v>
      </c>
      <c r="I638" s="8">
        <v>11</v>
      </c>
      <c r="J638" s="19">
        <f t="shared" si="14"/>
        <v>5.3326199393615124E-2</v>
      </c>
      <c r="K638" s="9">
        <v>7.65</v>
      </c>
      <c r="L638" s="10">
        <f t="shared" si="12"/>
        <v>5.3326199393615124E-2</v>
      </c>
    </row>
    <row r="639" spans="1:12" ht="14.25" customHeight="1" x14ac:dyDescent="0.3">
      <c r="A639" s="6" t="s">
        <v>663</v>
      </c>
      <c r="B639" s="6" t="s">
        <v>22</v>
      </c>
      <c r="C639" s="7">
        <v>45866</v>
      </c>
      <c r="D639" s="6" t="s">
        <v>20</v>
      </c>
      <c r="E639" s="8">
        <v>355683</v>
      </c>
      <c r="F639" s="8">
        <v>209786</v>
      </c>
      <c r="G639" s="8">
        <v>22369</v>
      </c>
      <c r="H639" s="8">
        <v>5374</v>
      </c>
      <c r="I639" s="8">
        <v>5279</v>
      </c>
      <c r="J639" s="19">
        <f t="shared" si="14"/>
        <v>9.2841097269197578E-2</v>
      </c>
      <c r="K639" s="9">
        <v>15.74</v>
      </c>
      <c r="L639" s="10">
        <f t="shared" si="12"/>
        <v>9.2841097269197578E-2</v>
      </c>
    </row>
    <row r="640" spans="1:12" ht="14.25" customHeight="1" x14ac:dyDescent="0.3">
      <c r="A640" s="6" t="s">
        <v>664</v>
      </c>
      <c r="B640" s="6" t="s">
        <v>30</v>
      </c>
      <c r="C640" s="7">
        <v>45618</v>
      </c>
      <c r="D640" s="6" t="s">
        <v>25</v>
      </c>
      <c r="E640" s="8">
        <v>24289</v>
      </c>
      <c r="F640" s="8">
        <v>13668</v>
      </c>
      <c r="G640" s="8">
        <v>552</v>
      </c>
      <c r="H640" s="8">
        <v>140</v>
      </c>
      <c r="I640" s="8">
        <v>120</v>
      </c>
      <c r="J640" s="19">
        <f t="shared" si="14"/>
        <v>3.3430771130964633E-2</v>
      </c>
      <c r="K640" s="9">
        <v>5.94</v>
      </c>
      <c r="L640" s="10">
        <f t="shared" si="12"/>
        <v>3.3430771130964633E-2</v>
      </c>
    </row>
    <row r="641" spans="1:12" ht="14.25" customHeight="1" x14ac:dyDescent="0.3">
      <c r="A641" s="6" t="s">
        <v>665</v>
      </c>
      <c r="B641" s="6" t="s">
        <v>19</v>
      </c>
      <c r="C641" s="7">
        <v>45672</v>
      </c>
      <c r="D641" s="6" t="s">
        <v>20</v>
      </c>
      <c r="E641" s="8">
        <v>47511</v>
      </c>
      <c r="F641" s="8">
        <v>30956</v>
      </c>
      <c r="G641" s="8">
        <v>836</v>
      </c>
      <c r="H641" s="8">
        <v>31</v>
      </c>
      <c r="I641" s="8">
        <v>371</v>
      </c>
      <c r="J641" s="19">
        <f t="shared" si="14"/>
        <v>2.6057123613478984E-2</v>
      </c>
      <c r="K641" s="9">
        <v>4</v>
      </c>
      <c r="L641" s="10">
        <f t="shared" si="12"/>
        <v>2.6057123613478984E-2</v>
      </c>
    </row>
    <row r="642" spans="1:12" ht="14.25" customHeight="1" x14ac:dyDescent="0.3">
      <c r="A642" s="6" t="s">
        <v>666</v>
      </c>
      <c r="B642" s="6" t="s">
        <v>19</v>
      </c>
      <c r="C642" s="7">
        <v>46002</v>
      </c>
      <c r="D642" s="6" t="s">
        <v>17</v>
      </c>
      <c r="E642" s="8">
        <v>12122</v>
      </c>
      <c r="F642" s="8">
        <v>6898</v>
      </c>
      <c r="G642" s="8">
        <v>100</v>
      </c>
      <c r="H642" s="8">
        <v>19</v>
      </c>
      <c r="I642" s="8">
        <v>108</v>
      </c>
      <c r="J642" s="19">
        <f t="shared" si="14"/>
        <v>1.8726282791618545E-2</v>
      </c>
      <c r="K642" s="9">
        <v>3.29</v>
      </c>
      <c r="L642" s="10">
        <f t="shared" si="12"/>
        <v>1.8726282791618545E-2</v>
      </c>
    </row>
    <row r="643" spans="1:12" ht="14.25" customHeight="1" x14ac:dyDescent="0.3">
      <c r="A643" s="6" t="s">
        <v>667</v>
      </c>
      <c r="B643" s="6" t="s">
        <v>22</v>
      </c>
      <c r="C643" s="7">
        <v>45818</v>
      </c>
      <c r="D643" s="6" t="s">
        <v>23</v>
      </c>
      <c r="E643" s="8">
        <v>24844</v>
      </c>
      <c r="F643" s="8">
        <v>13213</v>
      </c>
      <c r="G643" s="8">
        <v>1483</v>
      </c>
      <c r="H643" s="8">
        <v>150</v>
      </c>
      <c r="I643" s="8">
        <v>471</v>
      </c>
      <c r="J643" s="19">
        <f t="shared" ref="J643:J706" si="15">(G643+H643+I643)/E643</f>
        <v>8.4688455965222995E-2</v>
      </c>
      <c r="K643" s="9">
        <v>15.92</v>
      </c>
      <c r="L643" s="10">
        <f t="shared" si="12"/>
        <v>8.4688455965222995E-2</v>
      </c>
    </row>
    <row r="644" spans="1:12" ht="14.25" customHeight="1" x14ac:dyDescent="0.3">
      <c r="A644" s="6" t="s">
        <v>668</v>
      </c>
      <c r="B644" s="6" t="s">
        <v>16</v>
      </c>
      <c r="C644" s="7">
        <v>45588</v>
      </c>
      <c r="D644" s="6" t="s">
        <v>23</v>
      </c>
      <c r="E644" s="8">
        <v>72162</v>
      </c>
      <c r="F644" s="8">
        <v>32445</v>
      </c>
      <c r="G644" s="8">
        <v>1120</v>
      </c>
      <c r="H644" s="8">
        <v>100</v>
      </c>
      <c r="I644" s="8">
        <v>71</v>
      </c>
      <c r="J644" s="19">
        <f t="shared" si="15"/>
        <v>1.7890302375211331E-2</v>
      </c>
      <c r="K644" s="9">
        <v>3.98</v>
      </c>
      <c r="L644" s="10">
        <f t="shared" si="12"/>
        <v>1.7890302375211331E-2</v>
      </c>
    </row>
    <row r="645" spans="1:12" ht="14.25" customHeight="1" x14ac:dyDescent="0.3">
      <c r="A645" s="6" t="s">
        <v>669</v>
      </c>
      <c r="B645" s="6" t="s">
        <v>19</v>
      </c>
      <c r="C645" s="7">
        <v>45957</v>
      </c>
      <c r="D645" s="6" t="s">
        <v>14</v>
      </c>
      <c r="E645" s="8">
        <v>9855</v>
      </c>
      <c r="F645" s="8">
        <v>8639</v>
      </c>
      <c r="G645" s="8">
        <v>165</v>
      </c>
      <c r="H645" s="8">
        <v>13</v>
      </c>
      <c r="I645" s="8">
        <v>75</v>
      </c>
      <c r="J645" s="19">
        <f t="shared" si="15"/>
        <v>2.5672247590055809E-2</v>
      </c>
      <c r="K645" s="9">
        <v>2.93</v>
      </c>
      <c r="L645" s="10">
        <f t="shared" si="12"/>
        <v>2.5672247590055809E-2</v>
      </c>
    </row>
    <row r="646" spans="1:12" ht="14.25" customHeight="1" x14ac:dyDescent="0.3">
      <c r="A646" s="6" t="s">
        <v>670</v>
      </c>
      <c r="B646" s="6" t="s">
        <v>13</v>
      </c>
      <c r="C646" s="7">
        <v>45923</v>
      </c>
      <c r="D646" s="6" t="s">
        <v>14</v>
      </c>
      <c r="E646" s="8">
        <v>1464</v>
      </c>
      <c r="F646" s="8">
        <v>623</v>
      </c>
      <c r="G646" s="8">
        <v>18</v>
      </c>
      <c r="H646" s="8">
        <v>4</v>
      </c>
      <c r="I646" s="8">
        <v>10</v>
      </c>
      <c r="J646" s="19">
        <f t="shared" si="15"/>
        <v>2.185792349726776E-2</v>
      </c>
      <c r="K646" s="9">
        <v>5.14</v>
      </c>
      <c r="L646" s="10">
        <f t="shared" si="12"/>
        <v>2.185792349726776E-2</v>
      </c>
    </row>
    <row r="647" spans="1:12" ht="14.25" customHeight="1" x14ac:dyDescent="0.3">
      <c r="A647" s="6" t="s">
        <v>671</v>
      </c>
      <c r="B647" s="6" t="s">
        <v>16</v>
      </c>
      <c r="C647" s="7">
        <v>45506</v>
      </c>
      <c r="D647" s="6" t="s">
        <v>17</v>
      </c>
      <c r="E647" s="8">
        <v>43874</v>
      </c>
      <c r="F647" s="8">
        <v>28603</v>
      </c>
      <c r="G647" s="8">
        <v>2132</v>
      </c>
      <c r="H647" s="8">
        <v>362</v>
      </c>
      <c r="I647" s="8">
        <v>160</v>
      </c>
      <c r="J647" s="19">
        <f t="shared" si="15"/>
        <v>6.0491407211560377E-2</v>
      </c>
      <c r="K647" s="9">
        <v>9.2799999999999994</v>
      </c>
      <c r="L647" s="10">
        <f t="shared" si="12"/>
        <v>6.0491407211560377E-2</v>
      </c>
    </row>
    <row r="648" spans="1:12" ht="14.25" customHeight="1" x14ac:dyDescent="0.3">
      <c r="A648" s="6" t="s">
        <v>672</v>
      </c>
      <c r="B648" s="6" t="s">
        <v>22</v>
      </c>
      <c r="C648" s="7">
        <v>45910</v>
      </c>
      <c r="D648" s="6" t="s">
        <v>20</v>
      </c>
      <c r="E648" s="8">
        <v>351288</v>
      </c>
      <c r="F648" s="8">
        <v>199282</v>
      </c>
      <c r="G648" s="8">
        <v>8103</v>
      </c>
      <c r="H648" s="8">
        <v>5764</v>
      </c>
      <c r="I648" s="8">
        <v>4943</v>
      </c>
      <c r="J648" s="19">
        <f t="shared" si="15"/>
        <v>5.3545808567329371E-2</v>
      </c>
      <c r="K648" s="9">
        <v>9.44</v>
      </c>
      <c r="L648" s="10">
        <f t="shared" si="12"/>
        <v>5.3545808567329371E-2</v>
      </c>
    </row>
    <row r="649" spans="1:12" ht="14.25" customHeight="1" x14ac:dyDescent="0.3">
      <c r="A649" s="6" t="s">
        <v>673</v>
      </c>
      <c r="B649" s="6" t="s">
        <v>30</v>
      </c>
      <c r="C649" s="7">
        <v>45457</v>
      </c>
      <c r="D649" s="6" t="s">
        <v>14</v>
      </c>
      <c r="E649" s="8">
        <v>1882</v>
      </c>
      <c r="F649" s="8">
        <v>1085</v>
      </c>
      <c r="G649" s="8">
        <v>51</v>
      </c>
      <c r="H649" s="8">
        <v>21</v>
      </c>
      <c r="I649" s="8">
        <v>5</v>
      </c>
      <c r="J649" s="19">
        <f t="shared" si="15"/>
        <v>4.0913921360255047E-2</v>
      </c>
      <c r="K649" s="9">
        <v>7.1</v>
      </c>
      <c r="L649" s="10">
        <f t="shared" si="12"/>
        <v>4.0913921360255047E-2</v>
      </c>
    </row>
    <row r="650" spans="1:12" ht="14.25" customHeight="1" x14ac:dyDescent="0.3">
      <c r="A650" s="6" t="s">
        <v>674</v>
      </c>
      <c r="B650" s="6" t="s">
        <v>16</v>
      </c>
      <c r="C650" s="7">
        <v>45552</v>
      </c>
      <c r="D650" s="6" t="s">
        <v>23</v>
      </c>
      <c r="E650" s="8">
        <v>57041</v>
      </c>
      <c r="F650" s="8">
        <v>29781</v>
      </c>
      <c r="G650" s="8">
        <v>1820</v>
      </c>
      <c r="H650" s="8">
        <v>343</v>
      </c>
      <c r="I650" s="8">
        <v>146</v>
      </c>
      <c r="J650" s="19">
        <f t="shared" si="15"/>
        <v>4.0479654985010785E-2</v>
      </c>
      <c r="K650" s="9">
        <v>7.75</v>
      </c>
      <c r="L650" s="10">
        <f t="shared" si="12"/>
        <v>4.0479654985010785E-2</v>
      </c>
    </row>
    <row r="651" spans="1:12" ht="14.25" customHeight="1" x14ac:dyDescent="0.3">
      <c r="A651" s="6" t="s">
        <v>675</v>
      </c>
      <c r="B651" s="6" t="s">
        <v>19</v>
      </c>
      <c r="C651" s="7">
        <v>45503</v>
      </c>
      <c r="D651" s="6" t="s">
        <v>17</v>
      </c>
      <c r="E651" s="8">
        <v>8908</v>
      </c>
      <c r="F651" s="8">
        <v>6596</v>
      </c>
      <c r="G651" s="8">
        <v>96</v>
      </c>
      <c r="H651" s="8">
        <v>44</v>
      </c>
      <c r="I651" s="8">
        <v>92</v>
      </c>
      <c r="J651" s="19">
        <f t="shared" si="15"/>
        <v>2.6044005388414906E-2</v>
      </c>
      <c r="K651" s="9">
        <v>3.52</v>
      </c>
      <c r="L651" s="10">
        <f t="shared" si="12"/>
        <v>2.6044005388414906E-2</v>
      </c>
    </row>
    <row r="652" spans="1:12" ht="14.25" customHeight="1" x14ac:dyDescent="0.3">
      <c r="A652" s="6" t="s">
        <v>676</v>
      </c>
      <c r="B652" s="6" t="s">
        <v>16</v>
      </c>
      <c r="C652" s="7">
        <v>45584</v>
      </c>
      <c r="D652" s="6" t="s">
        <v>17</v>
      </c>
      <c r="E652" s="8">
        <v>47214</v>
      </c>
      <c r="F652" s="8">
        <v>28846</v>
      </c>
      <c r="G652" s="8">
        <v>835</v>
      </c>
      <c r="H652" s="8">
        <v>359</v>
      </c>
      <c r="I652" s="8">
        <v>194</v>
      </c>
      <c r="J652" s="19">
        <f t="shared" si="15"/>
        <v>2.9398059897488032E-2</v>
      </c>
      <c r="K652" s="9">
        <v>4.8099999999999996</v>
      </c>
      <c r="L652" s="10">
        <f t="shared" si="12"/>
        <v>2.9398059897488032E-2</v>
      </c>
    </row>
    <row r="653" spans="1:12" ht="14.25" customHeight="1" x14ac:dyDescent="0.3">
      <c r="A653" s="6" t="s">
        <v>677</v>
      </c>
      <c r="B653" s="6" t="s">
        <v>30</v>
      </c>
      <c r="C653" s="7">
        <v>45970</v>
      </c>
      <c r="D653" s="6" t="s">
        <v>25</v>
      </c>
      <c r="E653" s="8">
        <v>7636</v>
      </c>
      <c r="F653" s="8">
        <v>4927</v>
      </c>
      <c r="G653" s="8">
        <v>86</v>
      </c>
      <c r="H653" s="8">
        <v>42</v>
      </c>
      <c r="I653" s="8">
        <v>24</v>
      </c>
      <c r="J653" s="19">
        <f t="shared" si="15"/>
        <v>1.9905709795704558E-2</v>
      </c>
      <c r="K653" s="9">
        <v>3.09</v>
      </c>
      <c r="L653" s="10">
        <f t="shared" si="12"/>
        <v>1.9905709795704558E-2</v>
      </c>
    </row>
    <row r="654" spans="1:12" ht="14.25" customHeight="1" x14ac:dyDescent="0.3">
      <c r="A654" s="6" t="s">
        <v>678</v>
      </c>
      <c r="B654" s="6" t="s">
        <v>19</v>
      </c>
      <c r="C654" s="7">
        <v>45868</v>
      </c>
      <c r="D654" s="6" t="s">
        <v>20</v>
      </c>
      <c r="E654" s="8">
        <v>11649</v>
      </c>
      <c r="F654" s="8">
        <v>10003</v>
      </c>
      <c r="G654" s="8">
        <v>121</v>
      </c>
      <c r="H654" s="8">
        <v>78</v>
      </c>
      <c r="I654" s="8">
        <v>73</v>
      </c>
      <c r="J654" s="19">
        <f t="shared" si="15"/>
        <v>2.3349643746244313E-2</v>
      </c>
      <c r="K654" s="9">
        <v>2.72</v>
      </c>
      <c r="L654" s="10">
        <f t="shared" si="12"/>
        <v>2.3349643746244313E-2</v>
      </c>
    </row>
    <row r="655" spans="1:12" ht="14.25" customHeight="1" x14ac:dyDescent="0.3">
      <c r="A655" s="6" t="s">
        <v>679</v>
      </c>
      <c r="B655" s="6" t="s">
        <v>16</v>
      </c>
      <c r="C655" s="7">
        <v>45368</v>
      </c>
      <c r="D655" s="6" t="s">
        <v>25</v>
      </c>
      <c r="E655" s="8">
        <v>15732</v>
      </c>
      <c r="F655" s="8">
        <v>10566</v>
      </c>
      <c r="G655" s="8">
        <v>390</v>
      </c>
      <c r="H655" s="8">
        <v>51</v>
      </c>
      <c r="I655" s="8">
        <v>88</v>
      </c>
      <c r="J655" s="19">
        <f t="shared" si="15"/>
        <v>3.3625730994152045E-2</v>
      </c>
      <c r="K655" s="9">
        <v>5.01</v>
      </c>
      <c r="L655" s="10">
        <f t="shared" si="12"/>
        <v>3.3625730994152045E-2</v>
      </c>
    </row>
    <row r="656" spans="1:12" ht="14.25" customHeight="1" x14ac:dyDescent="0.3">
      <c r="A656" s="6" t="s">
        <v>680</v>
      </c>
      <c r="B656" s="6" t="s">
        <v>13</v>
      </c>
      <c r="C656" s="7">
        <v>45457</v>
      </c>
      <c r="D656" s="6" t="s">
        <v>25</v>
      </c>
      <c r="E656" s="8">
        <v>30427</v>
      </c>
      <c r="F656" s="8">
        <v>10288</v>
      </c>
      <c r="G656" s="8">
        <v>271</v>
      </c>
      <c r="H656" s="8">
        <v>114</v>
      </c>
      <c r="I656" s="8">
        <v>133</v>
      </c>
      <c r="J656" s="19">
        <f t="shared" si="15"/>
        <v>1.7024353370361851E-2</v>
      </c>
      <c r="K656" s="9">
        <v>5.03</v>
      </c>
      <c r="L656" s="10">
        <f t="shared" si="12"/>
        <v>1.7024353370361851E-2</v>
      </c>
    </row>
    <row r="657" spans="1:12" ht="14.25" customHeight="1" x14ac:dyDescent="0.3">
      <c r="A657" s="6" t="s">
        <v>681</v>
      </c>
      <c r="B657" s="6" t="s">
        <v>22</v>
      </c>
      <c r="C657" s="7">
        <v>45414</v>
      </c>
      <c r="D657" s="6" t="s">
        <v>20</v>
      </c>
      <c r="E657" s="8">
        <v>165315</v>
      </c>
      <c r="F657" s="8">
        <v>60150</v>
      </c>
      <c r="G657" s="8">
        <v>4425</v>
      </c>
      <c r="H657" s="8">
        <v>1246</v>
      </c>
      <c r="I657" s="8">
        <v>2176</v>
      </c>
      <c r="J657" s="19">
        <f t="shared" si="15"/>
        <v>4.7466957021443913E-2</v>
      </c>
      <c r="K657" s="9">
        <v>13.05</v>
      </c>
      <c r="L657" s="10">
        <f t="shared" si="12"/>
        <v>4.7466957021443913E-2</v>
      </c>
    </row>
    <row r="658" spans="1:12" ht="14.25" customHeight="1" x14ac:dyDescent="0.3">
      <c r="A658" s="6" t="s">
        <v>682</v>
      </c>
      <c r="B658" s="6" t="s">
        <v>22</v>
      </c>
      <c r="C658" s="7">
        <v>45579</v>
      </c>
      <c r="D658" s="6" t="s">
        <v>23</v>
      </c>
      <c r="E658" s="8">
        <v>400431</v>
      </c>
      <c r="F658" s="8">
        <v>132665</v>
      </c>
      <c r="G658" s="8">
        <v>7190</v>
      </c>
      <c r="H658" s="8">
        <v>1913</v>
      </c>
      <c r="I658" s="8">
        <v>5655</v>
      </c>
      <c r="J658" s="19">
        <f t="shared" si="15"/>
        <v>3.6855288426720208E-2</v>
      </c>
      <c r="K658" s="9">
        <v>11.12</v>
      </c>
      <c r="L658" s="10">
        <f t="shared" si="12"/>
        <v>3.6855288426720208E-2</v>
      </c>
    </row>
    <row r="659" spans="1:12" ht="14.25" customHeight="1" x14ac:dyDescent="0.3">
      <c r="A659" s="6" t="s">
        <v>683</v>
      </c>
      <c r="B659" s="6" t="s">
        <v>30</v>
      </c>
      <c r="C659" s="7">
        <v>45294</v>
      </c>
      <c r="D659" s="6" t="s">
        <v>17</v>
      </c>
      <c r="E659" s="8">
        <v>9511</v>
      </c>
      <c r="F659" s="8">
        <v>4794</v>
      </c>
      <c r="G659" s="8">
        <v>80</v>
      </c>
      <c r="H659" s="8">
        <v>38</v>
      </c>
      <c r="I659" s="8">
        <v>27</v>
      </c>
      <c r="J659" s="19">
        <f t="shared" si="15"/>
        <v>1.5245505204500052E-2</v>
      </c>
      <c r="K659" s="9">
        <v>3.02</v>
      </c>
      <c r="L659" s="10">
        <f t="shared" si="12"/>
        <v>1.5245505204500052E-2</v>
      </c>
    </row>
    <row r="660" spans="1:12" ht="14.25" customHeight="1" x14ac:dyDescent="0.3">
      <c r="A660" s="6" t="s">
        <v>684</v>
      </c>
      <c r="B660" s="6" t="s">
        <v>16</v>
      </c>
      <c r="C660" s="7">
        <v>45895</v>
      </c>
      <c r="D660" s="6" t="s">
        <v>20</v>
      </c>
      <c r="E660" s="8">
        <v>24086</v>
      </c>
      <c r="F660" s="8">
        <v>9779</v>
      </c>
      <c r="G660" s="8">
        <v>507</v>
      </c>
      <c r="H660" s="8">
        <v>61</v>
      </c>
      <c r="I660" s="8">
        <v>67</v>
      </c>
      <c r="J660" s="19">
        <f t="shared" si="15"/>
        <v>2.6363862824877522E-2</v>
      </c>
      <c r="K660" s="9">
        <v>6.49</v>
      </c>
      <c r="L660" s="10">
        <f t="shared" si="12"/>
        <v>2.6363862824877522E-2</v>
      </c>
    </row>
    <row r="661" spans="1:12" ht="14.25" customHeight="1" x14ac:dyDescent="0.3">
      <c r="A661" s="6" t="s">
        <v>685</v>
      </c>
      <c r="B661" s="6" t="s">
        <v>22</v>
      </c>
      <c r="C661" s="7">
        <v>45600</v>
      </c>
      <c r="D661" s="6" t="s">
        <v>23</v>
      </c>
      <c r="E661" s="8">
        <v>149002</v>
      </c>
      <c r="F661" s="8">
        <v>64807</v>
      </c>
      <c r="G661" s="8">
        <v>2028</v>
      </c>
      <c r="H661" s="8">
        <v>1357</v>
      </c>
      <c r="I661" s="8">
        <v>1588</v>
      </c>
      <c r="J661" s="19">
        <f t="shared" si="15"/>
        <v>3.3375390934349873E-2</v>
      </c>
      <c r="K661" s="9">
        <v>7.67</v>
      </c>
      <c r="L661" s="10">
        <f t="shared" si="12"/>
        <v>3.3375390934349873E-2</v>
      </c>
    </row>
    <row r="662" spans="1:12" ht="14.25" customHeight="1" x14ac:dyDescent="0.3">
      <c r="A662" s="6" t="s">
        <v>686</v>
      </c>
      <c r="B662" s="6" t="s">
        <v>16</v>
      </c>
      <c r="C662" s="7">
        <v>45468</v>
      </c>
      <c r="D662" s="6" t="s">
        <v>25</v>
      </c>
      <c r="E662" s="8">
        <v>28394</v>
      </c>
      <c r="F662" s="8">
        <v>19354</v>
      </c>
      <c r="G662" s="8">
        <v>1424</v>
      </c>
      <c r="H662" s="8">
        <v>188</v>
      </c>
      <c r="I662" s="8">
        <v>137</v>
      </c>
      <c r="J662" s="19">
        <f t="shared" si="15"/>
        <v>6.1597520602944281E-2</v>
      </c>
      <c r="K662" s="9">
        <v>9.0399999999999991</v>
      </c>
      <c r="L662" s="10">
        <f t="shared" si="12"/>
        <v>6.1597520602944281E-2</v>
      </c>
    </row>
    <row r="663" spans="1:12" ht="14.25" customHeight="1" x14ac:dyDescent="0.3">
      <c r="A663" s="6" t="s">
        <v>687</v>
      </c>
      <c r="B663" s="6" t="s">
        <v>30</v>
      </c>
      <c r="C663" s="7">
        <v>45367</v>
      </c>
      <c r="D663" s="6" t="s">
        <v>20</v>
      </c>
      <c r="E663" s="8">
        <v>34442</v>
      </c>
      <c r="F663" s="8">
        <v>18309</v>
      </c>
      <c r="G663" s="8">
        <v>819</v>
      </c>
      <c r="H663" s="8">
        <v>280</v>
      </c>
      <c r="I663" s="8">
        <v>122</v>
      </c>
      <c r="J663" s="19">
        <f t="shared" si="15"/>
        <v>3.5450902967307359E-2</v>
      </c>
      <c r="K663" s="9">
        <v>6.67</v>
      </c>
      <c r="L663" s="10">
        <f t="shared" si="12"/>
        <v>3.5450902967307359E-2</v>
      </c>
    </row>
    <row r="664" spans="1:12" ht="14.25" customHeight="1" x14ac:dyDescent="0.3">
      <c r="A664" s="6" t="s">
        <v>688</v>
      </c>
      <c r="B664" s="6" t="s">
        <v>16</v>
      </c>
      <c r="C664" s="7">
        <v>46009</v>
      </c>
      <c r="D664" s="6" t="s">
        <v>17</v>
      </c>
      <c r="E664" s="8">
        <v>36061</v>
      </c>
      <c r="F664" s="8">
        <v>16765</v>
      </c>
      <c r="G664" s="8">
        <v>1264</v>
      </c>
      <c r="H664" s="8">
        <v>41</v>
      </c>
      <c r="I664" s="8">
        <v>69</v>
      </c>
      <c r="J664" s="19">
        <f t="shared" si="15"/>
        <v>3.8102104766922718E-2</v>
      </c>
      <c r="K664" s="9">
        <v>8.1999999999999993</v>
      </c>
      <c r="L664" s="10">
        <f t="shared" si="12"/>
        <v>3.8102104766922718E-2</v>
      </c>
    </row>
    <row r="665" spans="1:12" ht="14.25" customHeight="1" x14ac:dyDescent="0.3">
      <c r="A665" s="6" t="s">
        <v>689</v>
      </c>
      <c r="B665" s="6" t="s">
        <v>22</v>
      </c>
      <c r="C665" s="7">
        <v>45921</v>
      </c>
      <c r="D665" s="6" t="s">
        <v>20</v>
      </c>
      <c r="E665" s="8">
        <v>376171</v>
      </c>
      <c r="F665" s="8">
        <v>118382</v>
      </c>
      <c r="G665" s="8">
        <v>11737</v>
      </c>
      <c r="H665" s="8">
        <v>1769</v>
      </c>
      <c r="I665" s="8">
        <v>1756</v>
      </c>
      <c r="J665" s="19">
        <f t="shared" si="15"/>
        <v>4.0571973916117936E-2</v>
      </c>
      <c r="K665" s="9">
        <v>12.89</v>
      </c>
      <c r="L665" s="10">
        <f t="shared" si="12"/>
        <v>4.0571973916117936E-2</v>
      </c>
    </row>
    <row r="666" spans="1:12" ht="14.25" customHeight="1" x14ac:dyDescent="0.3">
      <c r="A666" s="6" t="s">
        <v>690</v>
      </c>
      <c r="B666" s="6" t="s">
        <v>16</v>
      </c>
      <c r="C666" s="7">
        <v>45988</v>
      </c>
      <c r="D666" s="6" t="s">
        <v>23</v>
      </c>
      <c r="E666" s="8">
        <v>29184</v>
      </c>
      <c r="F666" s="8">
        <v>14749</v>
      </c>
      <c r="G666" s="8">
        <v>680</v>
      </c>
      <c r="H666" s="8">
        <v>106</v>
      </c>
      <c r="I666" s="8">
        <v>54</v>
      </c>
      <c r="J666" s="19">
        <f t="shared" si="15"/>
        <v>2.8782894736842105E-2</v>
      </c>
      <c r="K666" s="9">
        <v>5.7</v>
      </c>
      <c r="L666" s="10">
        <f t="shared" si="12"/>
        <v>2.8782894736842105E-2</v>
      </c>
    </row>
    <row r="667" spans="1:12" ht="14.25" customHeight="1" x14ac:dyDescent="0.3">
      <c r="A667" s="6" t="s">
        <v>691</v>
      </c>
      <c r="B667" s="6" t="s">
        <v>19</v>
      </c>
      <c r="C667" s="7">
        <v>45729</v>
      </c>
      <c r="D667" s="6" t="s">
        <v>20</v>
      </c>
      <c r="E667" s="8">
        <v>69393</v>
      </c>
      <c r="F667" s="8">
        <v>59476</v>
      </c>
      <c r="G667" s="8">
        <v>584</v>
      </c>
      <c r="H667" s="8">
        <v>275</v>
      </c>
      <c r="I667" s="8">
        <v>1046</v>
      </c>
      <c r="J667" s="19">
        <f t="shared" si="15"/>
        <v>2.7452336691020707E-2</v>
      </c>
      <c r="K667" s="9">
        <v>3.2</v>
      </c>
      <c r="L667" s="10">
        <f t="shared" si="12"/>
        <v>2.7452336691020707E-2</v>
      </c>
    </row>
    <row r="668" spans="1:12" ht="14.25" customHeight="1" x14ac:dyDescent="0.3">
      <c r="A668" s="6" t="s">
        <v>692</v>
      </c>
      <c r="B668" s="6" t="s">
        <v>30</v>
      </c>
      <c r="C668" s="7">
        <v>45461</v>
      </c>
      <c r="D668" s="6" t="s">
        <v>20</v>
      </c>
      <c r="E668" s="8">
        <v>13645</v>
      </c>
      <c r="F668" s="8">
        <v>6811</v>
      </c>
      <c r="G668" s="8">
        <v>361</v>
      </c>
      <c r="H668" s="8">
        <v>67</v>
      </c>
      <c r="I668" s="8">
        <v>96</v>
      </c>
      <c r="J668" s="19">
        <f t="shared" si="15"/>
        <v>3.840234518138512E-2</v>
      </c>
      <c r="K668" s="9">
        <v>7.69</v>
      </c>
      <c r="L668" s="10">
        <f t="shared" si="12"/>
        <v>3.840234518138512E-2</v>
      </c>
    </row>
    <row r="669" spans="1:12" ht="14.25" customHeight="1" x14ac:dyDescent="0.3">
      <c r="A669" s="6" t="s">
        <v>693</v>
      </c>
      <c r="B669" s="6" t="s">
        <v>16</v>
      </c>
      <c r="C669" s="7">
        <v>45519</v>
      </c>
      <c r="D669" s="6" t="s">
        <v>20</v>
      </c>
      <c r="E669" s="8">
        <v>81658</v>
      </c>
      <c r="F669" s="8">
        <v>62205</v>
      </c>
      <c r="G669" s="8">
        <v>4673</v>
      </c>
      <c r="H669" s="8">
        <v>461</v>
      </c>
      <c r="I669" s="8">
        <v>445</v>
      </c>
      <c r="J669" s="19">
        <f t="shared" si="15"/>
        <v>6.8321536163021376E-2</v>
      </c>
      <c r="K669" s="9">
        <v>8.9700000000000006</v>
      </c>
      <c r="L669" s="10">
        <f t="shared" si="12"/>
        <v>6.8321536163021376E-2</v>
      </c>
    </row>
    <row r="670" spans="1:12" ht="14.25" customHeight="1" x14ac:dyDescent="0.3">
      <c r="A670" s="6" t="s">
        <v>694</v>
      </c>
      <c r="B670" s="6" t="s">
        <v>19</v>
      </c>
      <c r="C670" s="7">
        <v>45300</v>
      </c>
      <c r="D670" s="6" t="s">
        <v>14</v>
      </c>
      <c r="E670" s="8">
        <v>15327</v>
      </c>
      <c r="F670" s="8">
        <v>12694</v>
      </c>
      <c r="G670" s="8">
        <v>314</v>
      </c>
      <c r="H670" s="8">
        <v>26</v>
      </c>
      <c r="I670" s="8">
        <v>245</v>
      </c>
      <c r="J670" s="19">
        <f t="shared" si="15"/>
        <v>3.8167938931297711E-2</v>
      </c>
      <c r="K670" s="9">
        <v>4.6100000000000003</v>
      </c>
      <c r="L670" s="10">
        <f t="shared" si="12"/>
        <v>3.8167938931297711E-2</v>
      </c>
    </row>
    <row r="671" spans="1:12" ht="14.25" customHeight="1" x14ac:dyDescent="0.3">
      <c r="A671" s="6" t="s">
        <v>695</v>
      </c>
      <c r="B671" s="6" t="s">
        <v>22</v>
      </c>
      <c r="C671" s="7">
        <v>45490</v>
      </c>
      <c r="D671" s="6" t="s">
        <v>20</v>
      </c>
      <c r="E671" s="8">
        <v>186198</v>
      </c>
      <c r="F671" s="8">
        <v>108919</v>
      </c>
      <c r="G671" s="8">
        <v>4735</v>
      </c>
      <c r="H671" s="8">
        <v>2170</v>
      </c>
      <c r="I671" s="8">
        <v>3180</v>
      </c>
      <c r="J671" s="19">
        <f t="shared" si="15"/>
        <v>5.41627729621156E-2</v>
      </c>
      <c r="K671" s="9">
        <v>9.26</v>
      </c>
      <c r="L671" s="10">
        <f t="shared" si="12"/>
        <v>5.41627729621156E-2</v>
      </c>
    </row>
    <row r="672" spans="1:12" ht="14.25" customHeight="1" x14ac:dyDescent="0.3">
      <c r="A672" s="6" t="s">
        <v>696</v>
      </c>
      <c r="B672" s="6" t="s">
        <v>22</v>
      </c>
      <c r="C672" s="7">
        <v>45608</v>
      </c>
      <c r="D672" s="6" t="s">
        <v>23</v>
      </c>
      <c r="E672" s="8">
        <v>321812</v>
      </c>
      <c r="F672" s="8">
        <v>105478</v>
      </c>
      <c r="G672" s="8">
        <v>8808</v>
      </c>
      <c r="H672" s="8">
        <v>1141</v>
      </c>
      <c r="I672" s="8">
        <v>4652</v>
      </c>
      <c r="J672" s="19">
        <f t="shared" si="15"/>
        <v>4.5371210520428078E-2</v>
      </c>
      <c r="K672" s="9">
        <v>13.84</v>
      </c>
      <c r="L672" s="10">
        <f t="shared" si="12"/>
        <v>4.5371210520428078E-2</v>
      </c>
    </row>
    <row r="673" spans="1:12" ht="14.25" customHeight="1" x14ac:dyDescent="0.3">
      <c r="A673" s="6" t="s">
        <v>697</v>
      </c>
      <c r="B673" s="6" t="s">
        <v>19</v>
      </c>
      <c r="C673" s="7">
        <v>45583</v>
      </c>
      <c r="D673" s="6" t="s">
        <v>14</v>
      </c>
      <c r="E673" s="8">
        <v>14268</v>
      </c>
      <c r="F673" s="8">
        <v>11633</v>
      </c>
      <c r="G673" s="8">
        <v>131</v>
      </c>
      <c r="H673" s="8">
        <v>88</v>
      </c>
      <c r="I673" s="8">
        <v>139</v>
      </c>
      <c r="J673" s="19">
        <f t="shared" si="15"/>
        <v>2.509111298009532E-2</v>
      </c>
      <c r="K673" s="9">
        <v>3.08</v>
      </c>
      <c r="L673" s="10">
        <f t="shared" si="12"/>
        <v>2.509111298009532E-2</v>
      </c>
    </row>
    <row r="674" spans="1:12" ht="14.25" customHeight="1" x14ac:dyDescent="0.3">
      <c r="A674" s="6" t="s">
        <v>698</v>
      </c>
      <c r="B674" s="6" t="s">
        <v>16</v>
      </c>
      <c r="C674" s="7">
        <v>45704</v>
      </c>
      <c r="D674" s="6" t="s">
        <v>25</v>
      </c>
      <c r="E674" s="8">
        <v>47971</v>
      </c>
      <c r="F674" s="8">
        <v>29910</v>
      </c>
      <c r="G674" s="8">
        <v>1900</v>
      </c>
      <c r="H674" s="8">
        <v>203</v>
      </c>
      <c r="I674" s="8">
        <v>206</v>
      </c>
      <c r="J674" s="19">
        <f t="shared" si="15"/>
        <v>4.8133247170165309E-2</v>
      </c>
      <c r="K674" s="9">
        <v>7.72</v>
      </c>
      <c r="L674" s="10">
        <f t="shared" si="12"/>
        <v>4.8133247170165309E-2</v>
      </c>
    </row>
    <row r="675" spans="1:12" ht="14.25" customHeight="1" x14ac:dyDescent="0.3">
      <c r="A675" s="6" t="s">
        <v>699</v>
      </c>
      <c r="B675" s="6" t="s">
        <v>16</v>
      </c>
      <c r="C675" s="7">
        <v>45553</v>
      </c>
      <c r="D675" s="6" t="s">
        <v>25</v>
      </c>
      <c r="E675" s="8">
        <v>12818</v>
      </c>
      <c r="F675" s="8">
        <v>7169</v>
      </c>
      <c r="G675" s="8">
        <v>546</v>
      </c>
      <c r="H675" s="8">
        <v>107</v>
      </c>
      <c r="I675" s="8">
        <v>19</v>
      </c>
      <c r="J675" s="19">
        <f t="shared" si="15"/>
        <v>5.2426275550007805E-2</v>
      </c>
      <c r="K675" s="9">
        <v>9.3699999999999992</v>
      </c>
      <c r="L675" s="10">
        <f t="shared" si="12"/>
        <v>5.2426275550007805E-2</v>
      </c>
    </row>
    <row r="676" spans="1:12" ht="14.25" customHeight="1" x14ac:dyDescent="0.3">
      <c r="A676" s="6" t="s">
        <v>700</v>
      </c>
      <c r="B676" s="6" t="s">
        <v>30</v>
      </c>
      <c r="C676" s="7">
        <v>45358</v>
      </c>
      <c r="D676" s="6" t="s">
        <v>14</v>
      </c>
      <c r="E676" s="8">
        <v>15500</v>
      </c>
      <c r="F676" s="8">
        <v>7254</v>
      </c>
      <c r="G676" s="8">
        <v>329</v>
      </c>
      <c r="H676" s="8">
        <v>93</v>
      </c>
      <c r="I676" s="8">
        <v>38</v>
      </c>
      <c r="J676" s="19">
        <f t="shared" si="15"/>
        <v>2.9677419354838711E-2</v>
      </c>
      <c r="K676" s="9">
        <v>6.34</v>
      </c>
      <c r="L676" s="10">
        <f t="shared" si="12"/>
        <v>2.9677419354838711E-2</v>
      </c>
    </row>
    <row r="677" spans="1:12" ht="14.25" customHeight="1" x14ac:dyDescent="0.3">
      <c r="A677" s="6" t="s">
        <v>701</v>
      </c>
      <c r="B677" s="6" t="s">
        <v>16</v>
      </c>
      <c r="C677" s="7">
        <v>45815</v>
      </c>
      <c r="D677" s="6" t="s">
        <v>25</v>
      </c>
      <c r="E677" s="8">
        <v>52663</v>
      </c>
      <c r="F677" s="8">
        <v>27199</v>
      </c>
      <c r="G677" s="8">
        <v>548</v>
      </c>
      <c r="H677" s="8">
        <v>231</v>
      </c>
      <c r="I677" s="8">
        <v>211</v>
      </c>
      <c r="J677" s="19">
        <f t="shared" si="15"/>
        <v>1.879877713005336E-2</v>
      </c>
      <c r="K677" s="9">
        <v>3.64</v>
      </c>
      <c r="L677" s="10">
        <f t="shared" si="12"/>
        <v>1.879877713005336E-2</v>
      </c>
    </row>
    <row r="678" spans="1:12" ht="14.25" customHeight="1" x14ac:dyDescent="0.3">
      <c r="A678" s="6" t="s">
        <v>702</v>
      </c>
      <c r="B678" s="6" t="s">
        <v>22</v>
      </c>
      <c r="C678" s="7">
        <v>45721</v>
      </c>
      <c r="D678" s="6" t="s">
        <v>20</v>
      </c>
      <c r="E678" s="8">
        <v>173804</v>
      </c>
      <c r="F678" s="8">
        <v>101955</v>
      </c>
      <c r="G678" s="8">
        <v>5613</v>
      </c>
      <c r="H678" s="8">
        <v>882</v>
      </c>
      <c r="I678" s="8">
        <v>4341</v>
      </c>
      <c r="J678" s="19">
        <f t="shared" si="15"/>
        <v>6.2346090999056407E-2</v>
      </c>
      <c r="K678" s="9">
        <v>10.63</v>
      </c>
      <c r="L678" s="10">
        <f t="shared" si="12"/>
        <v>6.2346090999056407E-2</v>
      </c>
    </row>
    <row r="679" spans="1:12" ht="14.25" customHeight="1" x14ac:dyDescent="0.3">
      <c r="A679" s="6" t="s">
        <v>703</v>
      </c>
      <c r="B679" s="6" t="s">
        <v>19</v>
      </c>
      <c r="C679" s="7">
        <v>45926</v>
      </c>
      <c r="D679" s="6" t="s">
        <v>17</v>
      </c>
      <c r="E679" s="8">
        <v>3759</v>
      </c>
      <c r="F679" s="8">
        <v>2971</v>
      </c>
      <c r="G679" s="8">
        <v>69</v>
      </c>
      <c r="H679" s="8">
        <v>12</v>
      </c>
      <c r="I679" s="8">
        <v>33</v>
      </c>
      <c r="J679" s="19">
        <f t="shared" si="15"/>
        <v>3.0327214684756583E-2</v>
      </c>
      <c r="K679" s="9">
        <v>3.84</v>
      </c>
      <c r="L679" s="10">
        <f t="shared" si="12"/>
        <v>3.0327214684756583E-2</v>
      </c>
    </row>
    <row r="680" spans="1:12" ht="14.25" customHeight="1" x14ac:dyDescent="0.3">
      <c r="A680" s="6" t="s">
        <v>704</v>
      </c>
      <c r="B680" s="6" t="s">
        <v>19</v>
      </c>
      <c r="C680" s="7">
        <v>45562</v>
      </c>
      <c r="D680" s="6" t="s">
        <v>20</v>
      </c>
      <c r="E680" s="8">
        <v>65387</v>
      </c>
      <c r="F680" s="8">
        <v>56790</v>
      </c>
      <c r="G680" s="8">
        <v>780</v>
      </c>
      <c r="H680" s="8">
        <v>336</v>
      </c>
      <c r="I680" s="8">
        <v>826</v>
      </c>
      <c r="J680" s="19">
        <f t="shared" si="15"/>
        <v>2.9700093290715279E-2</v>
      </c>
      <c r="K680" s="9">
        <v>3.42</v>
      </c>
      <c r="L680" s="10">
        <f t="shared" si="12"/>
        <v>2.9700093290715279E-2</v>
      </c>
    </row>
    <row r="681" spans="1:12" ht="14.25" customHeight="1" x14ac:dyDescent="0.3">
      <c r="A681" s="6" t="s">
        <v>705</v>
      </c>
      <c r="B681" s="6" t="s">
        <v>30</v>
      </c>
      <c r="C681" s="7">
        <v>45967</v>
      </c>
      <c r="D681" s="6" t="s">
        <v>17</v>
      </c>
      <c r="E681" s="8">
        <v>17581</v>
      </c>
      <c r="F681" s="8">
        <v>7295</v>
      </c>
      <c r="G681" s="8">
        <v>319</v>
      </c>
      <c r="H681" s="8">
        <v>105</v>
      </c>
      <c r="I681" s="8">
        <v>47</v>
      </c>
      <c r="J681" s="19">
        <f t="shared" si="15"/>
        <v>2.6790284966725444E-2</v>
      </c>
      <c r="K681" s="9">
        <v>6.46</v>
      </c>
      <c r="L681" s="10">
        <f t="shared" si="12"/>
        <v>2.6790284966725444E-2</v>
      </c>
    </row>
    <row r="682" spans="1:12" ht="14.25" customHeight="1" x14ac:dyDescent="0.3">
      <c r="A682" s="6" t="s">
        <v>706</v>
      </c>
      <c r="B682" s="6" t="s">
        <v>16</v>
      </c>
      <c r="C682" s="7">
        <v>45389</v>
      </c>
      <c r="D682" s="6" t="s">
        <v>23</v>
      </c>
      <c r="E682" s="8">
        <v>39451</v>
      </c>
      <c r="F682" s="8">
        <v>23090</v>
      </c>
      <c r="G682" s="8">
        <v>792</v>
      </c>
      <c r="H682" s="8">
        <v>295</v>
      </c>
      <c r="I682" s="8">
        <v>221</v>
      </c>
      <c r="J682" s="19">
        <f t="shared" si="15"/>
        <v>3.3155053103850349E-2</v>
      </c>
      <c r="K682" s="9">
        <v>5.66</v>
      </c>
      <c r="L682" s="10">
        <f t="shared" si="12"/>
        <v>3.3155053103850349E-2</v>
      </c>
    </row>
    <row r="683" spans="1:12" ht="14.25" customHeight="1" x14ac:dyDescent="0.3">
      <c r="A683" s="6" t="s">
        <v>707</v>
      </c>
      <c r="B683" s="6" t="s">
        <v>16</v>
      </c>
      <c r="C683" s="7">
        <v>45529</v>
      </c>
      <c r="D683" s="6" t="s">
        <v>17</v>
      </c>
      <c r="E683" s="8">
        <v>49080</v>
      </c>
      <c r="F683" s="8">
        <v>30039</v>
      </c>
      <c r="G683" s="8">
        <v>2323</v>
      </c>
      <c r="H683" s="8">
        <v>218</v>
      </c>
      <c r="I683" s="8">
        <v>205</v>
      </c>
      <c r="J683" s="19">
        <f t="shared" si="15"/>
        <v>5.5949470252648736E-2</v>
      </c>
      <c r="K683" s="9">
        <v>9.14</v>
      </c>
      <c r="L683" s="10">
        <f t="shared" si="12"/>
        <v>5.5949470252648736E-2</v>
      </c>
    </row>
    <row r="684" spans="1:12" ht="14.25" customHeight="1" x14ac:dyDescent="0.3">
      <c r="A684" s="6" t="s">
        <v>708</v>
      </c>
      <c r="B684" s="6" t="s">
        <v>16</v>
      </c>
      <c r="C684" s="7">
        <v>45333</v>
      </c>
      <c r="D684" s="6" t="s">
        <v>17</v>
      </c>
      <c r="E684" s="8">
        <v>15266</v>
      </c>
      <c r="F684" s="8">
        <v>10760</v>
      </c>
      <c r="G684" s="8">
        <v>456</v>
      </c>
      <c r="H684" s="8">
        <v>21</v>
      </c>
      <c r="I684" s="8">
        <v>54</v>
      </c>
      <c r="J684" s="19">
        <f t="shared" si="15"/>
        <v>3.4783178304729462E-2</v>
      </c>
      <c r="K684" s="9">
        <v>4.93</v>
      </c>
      <c r="L684" s="10">
        <f t="shared" si="12"/>
        <v>3.4783178304729462E-2</v>
      </c>
    </row>
    <row r="685" spans="1:12" ht="14.25" customHeight="1" x14ac:dyDescent="0.3">
      <c r="A685" s="6" t="s">
        <v>709</v>
      </c>
      <c r="B685" s="6" t="s">
        <v>19</v>
      </c>
      <c r="C685" s="7">
        <v>45849</v>
      </c>
      <c r="D685" s="6" t="s">
        <v>14</v>
      </c>
      <c r="E685" s="8">
        <v>4895</v>
      </c>
      <c r="F685" s="8">
        <v>2931</v>
      </c>
      <c r="G685" s="8">
        <v>40</v>
      </c>
      <c r="H685" s="8">
        <v>14</v>
      </c>
      <c r="I685" s="8">
        <v>55</v>
      </c>
      <c r="J685" s="19">
        <f t="shared" si="15"/>
        <v>2.2267620020429008E-2</v>
      </c>
      <c r="K685" s="9">
        <v>3.72</v>
      </c>
      <c r="L685" s="10">
        <f t="shared" si="12"/>
        <v>2.2267620020429008E-2</v>
      </c>
    </row>
    <row r="686" spans="1:12" ht="14.25" customHeight="1" x14ac:dyDescent="0.3">
      <c r="A686" s="6" t="s">
        <v>710</v>
      </c>
      <c r="B686" s="6" t="s">
        <v>16</v>
      </c>
      <c r="C686" s="7">
        <v>45412</v>
      </c>
      <c r="D686" s="6" t="s">
        <v>20</v>
      </c>
      <c r="E686" s="8">
        <v>71625</v>
      </c>
      <c r="F686" s="8">
        <v>34855</v>
      </c>
      <c r="G686" s="8">
        <v>2566</v>
      </c>
      <c r="H686" s="8">
        <v>381</v>
      </c>
      <c r="I686" s="8">
        <v>148</v>
      </c>
      <c r="J686" s="19">
        <f t="shared" si="15"/>
        <v>4.3211169284467714E-2</v>
      </c>
      <c r="K686" s="9">
        <v>8.8800000000000008</v>
      </c>
      <c r="L686" s="10">
        <f t="shared" si="12"/>
        <v>4.3211169284467714E-2</v>
      </c>
    </row>
    <row r="687" spans="1:12" ht="14.25" customHeight="1" x14ac:dyDescent="0.3">
      <c r="A687" s="6" t="s">
        <v>711</v>
      </c>
      <c r="B687" s="6" t="s">
        <v>16</v>
      </c>
      <c r="C687" s="7">
        <v>45880</v>
      </c>
      <c r="D687" s="6" t="s">
        <v>23</v>
      </c>
      <c r="E687" s="8">
        <v>18738</v>
      </c>
      <c r="F687" s="8">
        <v>10443</v>
      </c>
      <c r="G687" s="8">
        <v>526</v>
      </c>
      <c r="H687" s="8">
        <v>118</v>
      </c>
      <c r="I687" s="8">
        <v>55</v>
      </c>
      <c r="J687" s="19">
        <f t="shared" si="15"/>
        <v>3.7303874479666987E-2</v>
      </c>
      <c r="K687" s="9">
        <v>6.69</v>
      </c>
      <c r="L687" s="10">
        <f t="shared" si="12"/>
        <v>3.7303874479666987E-2</v>
      </c>
    </row>
    <row r="688" spans="1:12" ht="14.25" customHeight="1" x14ac:dyDescent="0.3">
      <c r="A688" s="6" t="s">
        <v>712</v>
      </c>
      <c r="B688" s="6" t="s">
        <v>19</v>
      </c>
      <c r="C688" s="7">
        <v>45983</v>
      </c>
      <c r="D688" s="6" t="s">
        <v>14</v>
      </c>
      <c r="E688" s="8">
        <v>2570</v>
      </c>
      <c r="F688" s="8">
        <v>1852</v>
      </c>
      <c r="G688" s="8">
        <v>22</v>
      </c>
      <c r="H688" s="8">
        <v>5</v>
      </c>
      <c r="I688" s="8">
        <v>7</v>
      </c>
      <c r="J688" s="19">
        <f t="shared" si="15"/>
        <v>1.3229571984435798E-2</v>
      </c>
      <c r="K688" s="9">
        <v>1.84</v>
      </c>
      <c r="L688" s="10">
        <f t="shared" si="12"/>
        <v>1.3229571984435798E-2</v>
      </c>
    </row>
    <row r="689" spans="1:12" ht="14.25" customHeight="1" x14ac:dyDescent="0.3">
      <c r="A689" s="6" t="s">
        <v>713</v>
      </c>
      <c r="B689" s="6" t="s">
        <v>22</v>
      </c>
      <c r="C689" s="7">
        <v>45554</v>
      </c>
      <c r="D689" s="6" t="s">
        <v>23</v>
      </c>
      <c r="E689" s="8">
        <v>136086</v>
      </c>
      <c r="F689" s="8">
        <v>60218</v>
      </c>
      <c r="G689" s="8">
        <v>3956</v>
      </c>
      <c r="H689" s="8">
        <v>1120</v>
      </c>
      <c r="I689" s="8">
        <v>1705</v>
      </c>
      <c r="J689" s="19">
        <f t="shared" si="15"/>
        <v>4.9828784739062063E-2</v>
      </c>
      <c r="K689" s="9">
        <v>11.26</v>
      </c>
      <c r="L689" s="10">
        <f t="shared" si="12"/>
        <v>4.9828784739062063E-2</v>
      </c>
    </row>
    <row r="690" spans="1:12" ht="14.25" customHeight="1" x14ac:dyDescent="0.3">
      <c r="A690" s="6" t="s">
        <v>714</v>
      </c>
      <c r="B690" s="6" t="s">
        <v>16</v>
      </c>
      <c r="C690" s="7">
        <v>45298</v>
      </c>
      <c r="D690" s="6" t="s">
        <v>25</v>
      </c>
      <c r="E690" s="8">
        <v>34283</v>
      </c>
      <c r="F690" s="8">
        <v>18836</v>
      </c>
      <c r="G690" s="8">
        <v>1092</v>
      </c>
      <c r="H690" s="8">
        <v>66</v>
      </c>
      <c r="I690" s="8">
        <v>144</v>
      </c>
      <c r="J690" s="19">
        <f t="shared" si="15"/>
        <v>3.797800659218855E-2</v>
      </c>
      <c r="K690" s="9">
        <v>6.91</v>
      </c>
      <c r="L690" s="10">
        <f t="shared" si="12"/>
        <v>3.797800659218855E-2</v>
      </c>
    </row>
    <row r="691" spans="1:12" ht="14.25" customHeight="1" x14ac:dyDescent="0.3">
      <c r="A691" s="6" t="s">
        <v>715</v>
      </c>
      <c r="B691" s="6" t="s">
        <v>16</v>
      </c>
      <c r="C691" s="7">
        <v>45414</v>
      </c>
      <c r="D691" s="6" t="s">
        <v>20</v>
      </c>
      <c r="E691" s="8">
        <v>1615</v>
      </c>
      <c r="F691" s="8">
        <v>702</v>
      </c>
      <c r="G691" s="8">
        <v>21</v>
      </c>
      <c r="H691" s="8">
        <v>4</v>
      </c>
      <c r="I691" s="8">
        <v>6</v>
      </c>
      <c r="J691" s="19">
        <f t="shared" si="15"/>
        <v>1.9195046439628483E-2</v>
      </c>
      <c r="K691" s="9">
        <v>4.42</v>
      </c>
      <c r="L691" s="10">
        <f t="shared" si="12"/>
        <v>1.9195046439628483E-2</v>
      </c>
    </row>
    <row r="692" spans="1:12" ht="14.25" customHeight="1" x14ac:dyDescent="0.3">
      <c r="A692" s="6" t="s">
        <v>716</v>
      </c>
      <c r="B692" s="6" t="s">
        <v>30</v>
      </c>
      <c r="C692" s="7">
        <v>46015</v>
      </c>
      <c r="D692" s="6" t="s">
        <v>25</v>
      </c>
      <c r="E692" s="8">
        <v>30298</v>
      </c>
      <c r="F692" s="8">
        <v>17070</v>
      </c>
      <c r="G692" s="8">
        <v>518</v>
      </c>
      <c r="H692" s="8">
        <v>236</v>
      </c>
      <c r="I692" s="8">
        <v>232</v>
      </c>
      <c r="J692" s="19">
        <f t="shared" si="15"/>
        <v>3.2543402204765988E-2</v>
      </c>
      <c r="K692" s="9">
        <v>5.78</v>
      </c>
      <c r="L692" s="10">
        <f t="shared" si="12"/>
        <v>3.2543402204765988E-2</v>
      </c>
    </row>
    <row r="693" spans="1:12" ht="14.25" customHeight="1" x14ac:dyDescent="0.3">
      <c r="A693" s="6" t="s">
        <v>717</v>
      </c>
      <c r="B693" s="6" t="s">
        <v>30</v>
      </c>
      <c r="C693" s="7">
        <v>45581</v>
      </c>
      <c r="D693" s="6" t="s">
        <v>25</v>
      </c>
      <c r="E693" s="8">
        <v>16740</v>
      </c>
      <c r="F693" s="8">
        <v>7243</v>
      </c>
      <c r="G693" s="8">
        <v>220</v>
      </c>
      <c r="H693" s="8">
        <v>158</v>
      </c>
      <c r="I693" s="8">
        <v>104</v>
      </c>
      <c r="J693" s="19">
        <f t="shared" si="15"/>
        <v>2.8793309438470728E-2</v>
      </c>
      <c r="K693" s="9">
        <v>6.65</v>
      </c>
      <c r="L693" s="10">
        <f t="shared" si="12"/>
        <v>2.8793309438470728E-2</v>
      </c>
    </row>
    <row r="694" spans="1:12" ht="14.25" customHeight="1" x14ac:dyDescent="0.3">
      <c r="A694" s="6" t="s">
        <v>718</v>
      </c>
      <c r="B694" s="6" t="s">
        <v>16</v>
      </c>
      <c r="C694" s="7">
        <v>45617</v>
      </c>
      <c r="D694" s="6" t="s">
        <v>17</v>
      </c>
      <c r="E694" s="8">
        <v>25252</v>
      </c>
      <c r="F694" s="8">
        <v>13577</v>
      </c>
      <c r="G694" s="8">
        <v>473</v>
      </c>
      <c r="H694" s="8">
        <v>128</v>
      </c>
      <c r="I694" s="8">
        <v>17</v>
      </c>
      <c r="J694" s="19">
        <f t="shared" si="15"/>
        <v>2.4473309044828133E-2</v>
      </c>
      <c r="K694" s="9">
        <v>4.55</v>
      </c>
      <c r="L694" s="10">
        <f t="shared" si="12"/>
        <v>2.4473309044828133E-2</v>
      </c>
    </row>
    <row r="695" spans="1:12" ht="14.25" customHeight="1" x14ac:dyDescent="0.3">
      <c r="A695" s="6" t="s">
        <v>719</v>
      </c>
      <c r="B695" s="6" t="s">
        <v>30</v>
      </c>
      <c r="C695" s="7">
        <v>45354</v>
      </c>
      <c r="D695" s="6" t="s">
        <v>25</v>
      </c>
      <c r="E695" s="8">
        <v>30617</v>
      </c>
      <c r="F695" s="8">
        <v>23813</v>
      </c>
      <c r="G695" s="8">
        <v>1140</v>
      </c>
      <c r="H695" s="8">
        <v>433</v>
      </c>
      <c r="I695" s="8">
        <v>194</v>
      </c>
      <c r="J695" s="19">
        <f t="shared" si="15"/>
        <v>5.7713035241859098E-2</v>
      </c>
      <c r="K695" s="9">
        <v>7.42</v>
      </c>
      <c r="L695" s="10">
        <f t="shared" si="12"/>
        <v>5.7713035241859098E-2</v>
      </c>
    </row>
    <row r="696" spans="1:12" ht="14.25" customHeight="1" x14ac:dyDescent="0.3">
      <c r="A696" s="6" t="s">
        <v>720</v>
      </c>
      <c r="B696" s="6" t="s">
        <v>13</v>
      </c>
      <c r="C696" s="7">
        <v>45589</v>
      </c>
      <c r="D696" s="6" t="s">
        <v>25</v>
      </c>
      <c r="E696" s="8">
        <v>5867</v>
      </c>
      <c r="F696" s="8">
        <v>3418</v>
      </c>
      <c r="G696" s="8">
        <v>166</v>
      </c>
      <c r="H696" s="8">
        <v>57</v>
      </c>
      <c r="I696" s="8">
        <v>101</v>
      </c>
      <c r="J696" s="19">
        <f t="shared" si="15"/>
        <v>5.5224134992329983E-2</v>
      </c>
      <c r="K696" s="9">
        <v>9.48</v>
      </c>
      <c r="L696" s="10">
        <f t="shared" si="12"/>
        <v>5.5224134992329983E-2</v>
      </c>
    </row>
    <row r="697" spans="1:12" ht="14.25" customHeight="1" x14ac:dyDescent="0.3">
      <c r="A697" s="6" t="s">
        <v>721</v>
      </c>
      <c r="B697" s="6" t="s">
        <v>13</v>
      </c>
      <c r="C697" s="7">
        <v>45538</v>
      </c>
      <c r="D697" s="6" t="s">
        <v>17</v>
      </c>
      <c r="E697" s="8">
        <v>12837</v>
      </c>
      <c r="F697" s="8">
        <v>7866</v>
      </c>
      <c r="G697" s="8">
        <v>120</v>
      </c>
      <c r="H697" s="8">
        <v>146</v>
      </c>
      <c r="I697" s="8">
        <v>167</v>
      </c>
      <c r="J697" s="19">
        <f t="shared" si="15"/>
        <v>3.3730622419568437E-2</v>
      </c>
      <c r="K697" s="9">
        <v>5.5</v>
      </c>
      <c r="L697" s="10">
        <f t="shared" si="12"/>
        <v>3.3730622419568437E-2</v>
      </c>
    </row>
    <row r="698" spans="1:12" ht="14.25" customHeight="1" x14ac:dyDescent="0.3">
      <c r="A698" s="6" t="s">
        <v>722</v>
      </c>
      <c r="B698" s="6" t="s">
        <v>19</v>
      </c>
      <c r="C698" s="7">
        <v>45523</v>
      </c>
      <c r="D698" s="6" t="s">
        <v>20</v>
      </c>
      <c r="E698" s="8">
        <v>19532</v>
      </c>
      <c r="F698" s="8">
        <v>16443</v>
      </c>
      <c r="G698" s="8">
        <v>132</v>
      </c>
      <c r="H698" s="8">
        <v>51</v>
      </c>
      <c r="I698" s="8">
        <v>177</v>
      </c>
      <c r="J698" s="19">
        <f t="shared" si="15"/>
        <v>1.8431292238378045E-2</v>
      </c>
      <c r="K698" s="9">
        <v>2.19</v>
      </c>
      <c r="L698" s="10">
        <f t="shared" si="12"/>
        <v>1.8431292238378045E-2</v>
      </c>
    </row>
    <row r="699" spans="1:12" ht="14.25" customHeight="1" x14ac:dyDescent="0.3">
      <c r="A699" s="6" t="s">
        <v>723</v>
      </c>
      <c r="B699" s="6" t="s">
        <v>30</v>
      </c>
      <c r="C699" s="7">
        <v>45337</v>
      </c>
      <c r="D699" s="6" t="s">
        <v>20</v>
      </c>
      <c r="E699" s="8">
        <v>36021</v>
      </c>
      <c r="F699" s="8">
        <v>24509</v>
      </c>
      <c r="G699" s="8">
        <v>567</v>
      </c>
      <c r="H699" s="8">
        <v>389</v>
      </c>
      <c r="I699" s="8">
        <v>136</v>
      </c>
      <c r="J699" s="19">
        <f t="shared" si="15"/>
        <v>3.0315649204630632E-2</v>
      </c>
      <c r="K699" s="9">
        <v>4.46</v>
      </c>
      <c r="L699" s="10">
        <f t="shared" si="12"/>
        <v>3.0315649204630632E-2</v>
      </c>
    </row>
    <row r="700" spans="1:12" ht="14.25" customHeight="1" x14ac:dyDescent="0.3">
      <c r="A700" s="6" t="s">
        <v>724</v>
      </c>
      <c r="B700" s="6" t="s">
        <v>22</v>
      </c>
      <c r="C700" s="7">
        <v>45833</v>
      </c>
      <c r="D700" s="6" t="s">
        <v>20</v>
      </c>
      <c r="E700" s="8">
        <v>516709</v>
      </c>
      <c r="F700" s="8">
        <v>268928</v>
      </c>
      <c r="G700" s="8">
        <v>8894</v>
      </c>
      <c r="H700" s="8">
        <v>4022</v>
      </c>
      <c r="I700" s="8">
        <v>2718</v>
      </c>
      <c r="J700" s="19">
        <f t="shared" si="15"/>
        <v>3.0256875726956567E-2</v>
      </c>
      <c r="K700" s="9">
        <v>5.81</v>
      </c>
      <c r="L700" s="10">
        <f t="shared" si="12"/>
        <v>3.0256875726956567E-2</v>
      </c>
    </row>
    <row r="701" spans="1:12" ht="14.25" customHeight="1" x14ac:dyDescent="0.3">
      <c r="A701" s="6" t="s">
        <v>725</v>
      </c>
      <c r="B701" s="6" t="s">
        <v>30</v>
      </c>
      <c r="C701" s="7">
        <v>45921</v>
      </c>
      <c r="D701" s="6" t="s">
        <v>17</v>
      </c>
      <c r="E701" s="8">
        <v>1750</v>
      </c>
      <c r="F701" s="8">
        <v>1317</v>
      </c>
      <c r="G701" s="8">
        <v>41</v>
      </c>
      <c r="H701" s="8">
        <v>29</v>
      </c>
      <c r="I701" s="8">
        <v>14</v>
      </c>
      <c r="J701" s="19">
        <f t="shared" si="15"/>
        <v>4.8000000000000001E-2</v>
      </c>
      <c r="K701" s="9">
        <v>6.38</v>
      </c>
      <c r="L701" s="10">
        <f t="shared" si="12"/>
        <v>4.8000000000000001E-2</v>
      </c>
    </row>
    <row r="702" spans="1:12" ht="14.25" customHeight="1" x14ac:dyDescent="0.3">
      <c r="A702" s="6" t="s">
        <v>726</v>
      </c>
      <c r="B702" s="6" t="s">
        <v>22</v>
      </c>
      <c r="C702" s="7">
        <v>45454</v>
      </c>
      <c r="D702" s="6" t="s">
        <v>20</v>
      </c>
      <c r="E702" s="8">
        <v>106828</v>
      </c>
      <c r="F702" s="8">
        <v>43898</v>
      </c>
      <c r="G702" s="8">
        <v>3859</v>
      </c>
      <c r="H702" s="8">
        <v>1088</v>
      </c>
      <c r="I702" s="8">
        <v>2101</v>
      </c>
      <c r="J702" s="19">
        <f t="shared" si="15"/>
        <v>6.5975212491107202E-2</v>
      </c>
      <c r="K702" s="9">
        <v>16.059999999999999</v>
      </c>
      <c r="L702" s="10">
        <f t="shared" si="12"/>
        <v>6.5975212491107202E-2</v>
      </c>
    </row>
    <row r="703" spans="1:12" ht="14.25" customHeight="1" x14ac:dyDescent="0.3">
      <c r="A703" s="6" t="s">
        <v>727</v>
      </c>
      <c r="B703" s="6" t="s">
        <v>22</v>
      </c>
      <c r="C703" s="7">
        <v>45718</v>
      </c>
      <c r="D703" s="6" t="s">
        <v>23</v>
      </c>
      <c r="E703" s="8">
        <v>49124</v>
      </c>
      <c r="F703" s="8">
        <v>26835</v>
      </c>
      <c r="G703" s="8">
        <v>3131</v>
      </c>
      <c r="H703" s="8">
        <v>481</v>
      </c>
      <c r="I703" s="8">
        <v>1317</v>
      </c>
      <c r="J703" s="19">
        <f t="shared" si="15"/>
        <v>0.10033792036479114</v>
      </c>
      <c r="K703" s="9">
        <v>18.37</v>
      </c>
      <c r="L703" s="10">
        <f t="shared" si="12"/>
        <v>0.10033792036479114</v>
      </c>
    </row>
    <row r="704" spans="1:12" ht="14.25" customHeight="1" x14ac:dyDescent="0.3">
      <c r="A704" s="6" t="s">
        <v>728</v>
      </c>
      <c r="B704" s="6" t="s">
        <v>30</v>
      </c>
      <c r="C704" s="7">
        <v>45992</v>
      </c>
      <c r="D704" s="6" t="s">
        <v>20</v>
      </c>
      <c r="E704" s="8">
        <v>6463</v>
      </c>
      <c r="F704" s="8">
        <v>4557</v>
      </c>
      <c r="G704" s="8">
        <v>146</v>
      </c>
      <c r="H704" s="8">
        <v>24</v>
      </c>
      <c r="I704" s="8">
        <v>15</v>
      </c>
      <c r="J704" s="19">
        <f t="shared" si="15"/>
        <v>2.8624477796688846E-2</v>
      </c>
      <c r="K704" s="9">
        <v>4.0599999999999996</v>
      </c>
      <c r="L704" s="10">
        <f t="shared" si="12"/>
        <v>2.8624477796688846E-2</v>
      </c>
    </row>
    <row r="705" spans="1:12" ht="14.25" customHeight="1" x14ac:dyDescent="0.3">
      <c r="A705" s="6" t="s">
        <v>729</v>
      </c>
      <c r="B705" s="6" t="s">
        <v>19</v>
      </c>
      <c r="C705" s="7">
        <v>45929</v>
      </c>
      <c r="D705" s="6" t="s">
        <v>14</v>
      </c>
      <c r="E705" s="8">
        <v>11643</v>
      </c>
      <c r="F705" s="8">
        <v>9539</v>
      </c>
      <c r="G705" s="8">
        <v>141</v>
      </c>
      <c r="H705" s="8">
        <v>22</v>
      </c>
      <c r="I705" s="8">
        <v>91</v>
      </c>
      <c r="J705" s="19">
        <f t="shared" si="15"/>
        <v>2.1815683243150391E-2</v>
      </c>
      <c r="K705" s="9">
        <v>2.66</v>
      </c>
      <c r="L705" s="10">
        <f t="shared" si="12"/>
        <v>2.1815683243150391E-2</v>
      </c>
    </row>
    <row r="706" spans="1:12" ht="14.25" customHeight="1" x14ac:dyDescent="0.3">
      <c r="A706" s="6" t="s">
        <v>730</v>
      </c>
      <c r="B706" s="6" t="s">
        <v>30</v>
      </c>
      <c r="C706" s="7">
        <v>45405</v>
      </c>
      <c r="D706" s="6" t="s">
        <v>14</v>
      </c>
      <c r="E706" s="8">
        <v>9622</v>
      </c>
      <c r="F706" s="8">
        <v>4784</v>
      </c>
      <c r="G706" s="8">
        <v>206</v>
      </c>
      <c r="H706" s="8">
        <v>57</v>
      </c>
      <c r="I706" s="8">
        <v>16</v>
      </c>
      <c r="J706" s="19">
        <f t="shared" si="15"/>
        <v>2.899605071710663E-2</v>
      </c>
      <c r="K706" s="9">
        <v>5.83</v>
      </c>
      <c r="L706" s="10">
        <f t="shared" si="12"/>
        <v>2.899605071710663E-2</v>
      </c>
    </row>
    <row r="707" spans="1:12" ht="14.25" customHeight="1" x14ac:dyDescent="0.3">
      <c r="A707" s="6" t="s">
        <v>731</v>
      </c>
      <c r="B707" s="6" t="s">
        <v>19</v>
      </c>
      <c r="C707" s="7">
        <v>45398</v>
      </c>
      <c r="D707" s="6" t="s">
        <v>17</v>
      </c>
      <c r="E707" s="8">
        <v>768</v>
      </c>
      <c r="F707" s="8">
        <v>675</v>
      </c>
      <c r="G707" s="8">
        <v>16</v>
      </c>
      <c r="H707" s="8">
        <v>3</v>
      </c>
      <c r="I707" s="8">
        <v>12</v>
      </c>
      <c r="J707" s="19">
        <f t="shared" ref="J707:J770" si="16">(G707+H707+I707)/E707</f>
        <v>4.0364583333333336E-2</v>
      </c>
      <c r="K707" s="9">
        <v>4.59</v>
      </c>
      <c r="L707" s="10">
        <f t="shared" si="12"/>
        <v>4.0364583333333336E-2</v>
      </c>
    </row>
    <row r="708" spans="1:12" ht="14.25" customHeight="1" x14ac:dyDescent="0.3">
      <c r="A708" s="6" t="s">
        <v>732</v>
      </c>
      <c r="B708" s="6" t="s">
        <v>13</v>
      </c>
      <c r="C708" s="7">
        <v>45752</v>
      </c>
      <c r="D708" s="6" t="s">
        <v>25</v>
      </c>
      <c r="E708" s="8">
        <v>5498</v>
      </c>
      <c r="F708" s="8">
        <v>3829</v>
      </c>
      <c r="G708" s="8">
        <v>145</v>
      </c>
      <c r="H708" s="8">
        <v>22</v>
      </c>
      <c r="I708" s="8">
        <v>48</v>
      </c>
      <c r="J708" s="19">
        <f t="shared" si="16"/>
        <v>3.9105129137868316E-2</v>
      </c>
      <c r="K708" s="9">
        <v>5.62</v>
      </c>
      <c r="L708" s="10">
        <f t="shared" si="12"/>
        <v>3.9105129137868316E-2</v>
      </c>
    </row>
    <row r="709" spans="1:12" ht="14.25" customHeight="1" x14ac:dyDescent="0.3">
      <c r="A709" s="6" t="s">
        <v>733</v>
      </c>
      <c r="B709" s="6" t="s">
        <v>16</v>
      </c>
      <c r="C709" s="7">
        <v>45775</v>
      </c>
      <c r="D709" s="6" t="s">
        <v>20</v>
      </c>
      <c r="E709" s="8">
        <v>97696</v>
      </c>
      <c r="F709" s="8">
        <v>44346</v>
      </c>
      <c r="G709" s="8">
        <v>2344</v>
      </c>
      <c r="H709" s="8">
        <v>517</v>
      </c>
      <c r="I709" s="8">
        <v>88</v>
      </c>
      <c r="J709" s="19">
        <f t="shared" si="16"/>
        <v>3.0185473304945955E-2</v>
      </c>
      <c r="K709" s="9">
        <v>6.65</v>
      </c>
      <c r="L709" s="10">
        <f t="shared" si="12"/>
        <v>3.0185473304945955E-2</v>
      </c>
    </row>
    <row r="710" spans="1:12" ht="14.25" customHeight="1" x14ac:dyDescent="0.3">
      <c r="A710" s="6" t="s">
        <v>734</v>
      </c>
      <c r="B710" s="6" t="s">
        <v>19</v>
      </c>
      <c r="C710" s="7">
        <v>45571</v>
      </c>
      <c r="D710" s="6" t="s">
        <v>17</v>
      </c>
      <c r="E710" s="8">
        <v>20572</v>
      </c>
      <c r="F710" s="8">
        <v>17868</v>
      </c>
      <c r="G710" s="8">
        <v>147</v>
      </c>
      <c r="H710" s="8">
        <v>129</v>
      </c>
      <c r="I710" s="8">
        <v>295</v>
      </c>
      <c r="J710" s="19">
        <f t="shared" si="16"/>
        <v>2.7756173439626677E-2</v>
      </c>
      <c r="K710" s="9">
        <v>3.2</v>
      </c>
      <c r="L710" s="10">
        <f t="shared" si="12"/>
        <v>2.7756173439626677E-2</v>
      </c>
    </row>
    <row r="711" spans="1:12" ht="14.25" customHeight="1" x14ac:dyDescent="0.3">
      <c r="A711" s="6" t="s">
        <v>735</v>
      </c>
      <c r="B711" s="6" t="s">
        <v>13</v>
      </c>
      <c r="C711" s="7">
        <v>45571</v>
      </c>
      <c r="D711" s="6" t="s">
        <v>14</v>
      </c>
      <c r="E711" s="8">
        <v>28247</v>
      </c>
      <c r="F711" s="8">
        <v>11746</v>
      </c>
      <c r="G711" s="8">
        <v>274</v>
      </c>
      <c r="H711" s="8">
        <v>156</v>
      </c>
      <c r="I711" s="8">
        <v>145</v>
      </c>
      <c r="J711" s="19">
        <f t="shared" si="16"/>
        <v>2.0356144015293658E-2</v>
      </c>
      <c r="K711" s="9">
        <v>4.9000000000000004</v>
      </c>
      <c r="L711" s="10">
        <f t="shared" si="12"/>
        <v>2.0356144015293658E-2</v>
      </c>
    </row>
    <row r="712" spans="1:12" ht="14.25" customHeight="1" x14ac:dyDescent="0.3">
      <c r="A712" s="6" t="s">
        <v>736</v>
      </c>
      <c r="B712" s="6" t="s">
        <v>16</v>
      </c>
      <c r="C712" s="7">
        <v>45672</v>
      </c>
      <c r="D712" s="6" t="s">
        <v>25</v>
      </c>
      <c r="E712" s="8">
        <v>74167</v>
      </c>
      <c r="F712" s="8">
        <v>45400</v>
      </c>
      <c r="G712" s="8">
        <v>3147</v>
      </c>
      <c r="H712" s="8">
        <v>194</v>
      </c>
      <c r="I712" s="8">
        <v>135</v>
      </c>
      <c r="J712" s="19">
        <f t="shared" si="16"/>
        <v>4.6867205091213074E-2</v>
      </c>
      <c r="K712" s="9">
        <v>7.66</v>
      </c>
      <c r="L712" s="10">
        <f t="shared" si="12"/>
        <v>4.6867205091213074E-2</v>
      </c>
    </row>
    <row r="713" spans="1:12" ht="14.25" customHeight="1" x14ac:dyDescent="0.3">
      <c r="A713" s="6" t="s">
        <v>737</v>
      </c>
      <c r="B713" s="6" t="s">
        <v>19</v>
      </c>
      <c r="C713" s="7">
        <v>45697</v>
      </c>
      <c r="D713" s="6" t="s">
        <v>20</v>
      </c>
      <c r="E713" s="8">
        <v>36474</v>
      </c>
      <c r="F713" s="8">
        <v>26752</v>
      </c>
      <c r="G713" s="8">
        <v>699</v>
      </c>
      <c r="H713" s="8">
        <v>125</v>
      </c>
      <c r="I713" s="8">
        <v>100</v>
      </c>
      <c r="J713" s="19">
        <f t="shared" si="16"/>
        <v>2.5333113999012995E-2</v>
      </c>
      <c r="K713" s="9">
        <v>3.45</v>
      </c>
      <c r="L713" s="10">
        <f t="shared" si="12"/>
        <v>2.5333113999012995E-2</v>
      </c>
    </row>
    <row r="714" spans="1:12" ht="14.25" customHeight="1" x14ac:dyDescent="0.3">
      <c r="A714" s="6" t="s">
        <v>738</v>
      </c>
      <c r="B714" s="6" t="s">
        <v>16</v>
      </c>
      <c r="C714" s="7">
        <v>45516</v>
      </c>
      <c r="D714" s="6" t="s">
        <v>25</v>
      </c>
      <c r="E714" s="8">
        <v>52019</v>
      </c>
      <c r="F714" s="8">
        <v>21663</v>
      </c>
      <c r="G714" s="8">
        <v>906</v>
      </c>
      <c r="H714" s="8">
        <v>211</v>
      </c>
      <c r="I714" s="8">
        <v>213</v>
      </c>
      <c r="J714" s="19">
        <f t="shared" si="16"/>
        <v>2.5567581076145256E-2</v>
      </c>
      <c r="K714" s="9">
        <v>6.14</v>
      </c>
      <c r="L714" s="10">
        <f t="shared" si="12"/>
        <v>2.5567581076145256E-2</v>
      </c>
    </row>
    <row r="715" spans="1:12" ht="14.25" customHeight="1" x14ac:dyDescent="0.3">
      <c r="A715" s="6" t="s">
        <v>739</v>
      </c>
      <c r="B715" s="6" t="s">
        <v>19</v>
      </c>
      <c r="C715" s="7">
        <v>46001</v>
      </c>
      <c r="D715" s="6" t="s">
        <v>17</v>
      </c>
      <c r="E715" s="8">
        <v>13851</v>
      </c>
      <c r="F715" s="8">
        <v>10753</v>
      </c>
      <c r="G715" s="8">
        <v>90</v>
      </c>
      <c r="H715" s="8">
        <v>13</v>
      </c>
      <c r="I715" s="8">
        <v>43</v>
      </c>
      <c r="J715" s="19">
        <f t="shared" si="16"/>
        <v>1.0540755180131398E-2</v>
      </c>
      <c r="K715" s="9">
        <v>1.36</v>
      </c>
      <c r="L715" s="10">
        <f t="shared" si="12"/>
        <v>1.0540755180131398E-2</v>
      </c>
    </row>
    <row r="716" spans="1:12" ht="14.25" customHeight="1" x14ac:dyDescent="0.3">
      <c r="A716" s="6" t="s">
        <v>740</v>
      </c>
      <c r="B716" s="6" t="s">
        <v>30</v>
      </c>
      <c r="C716" s="7">
        <v>45315</v>
      </c>
      <c r="D716" s="6" t="s">
        <v>20</v>
      </c>
      <c r="E716" s="8">
        <v>4210</v>
      </c>
      <c r="F716" s="8">
        <v>2327</v>
      </c>
      <c r="G716" s="8">
        <v>62</v>
      </c>
      <c r="H716" s="8">
        <v>55</v>
      </c>
      <c r="I716" s="8">
        <v>17</v>
      </c>
      <c r="J716" s="19">
        <f t="shared" si="16"/>
        <v>3.1828978622327794E-2</v>
      </c>
      <c r="K716" s="9">
        <v>5.76</v>
      </c>
      <c r="L716" s="10">
        <f t="shared" si="12"/>
        <v>3.1828978622327794E-2</v>
      </c>
    </row>
    <row r="717" spans="1:12" ht="14.25" customHeight="1" x14ac:dyDescent="0.3">
      <c r="A717" s="6" t="s">
        <v>741</v>
      </c>
      <c r="B717" s="6" t="s">
        <v>19</v>
      </c>
      <c r="C717" s="7">
        <v>45638</v>
      </c>
      <c r="D717" s="6" t="s">
        <v>14</v>
      </c>
      <c r="E717" s="8">
        <v>8714</v>
      </c>
      <c r="F717" s="8">
        <v>7818</v>
      </c>
      <c r="G717" s="8">
        <v>194</v>
      </c>
      <c r="H717" s="8">
        <v>8</v>
      </c>
      <c r="I717" s="8">
        <v>76</v>
      </c>
      <c r="J717" s="19">
        <f t="shared" si="16"/>
        <v>3.1902685333945378E-2</v>
      </c>
      <c r="K717" s="9">
        <v>3.56</v>
      </c>
      <c r="L717" s="10">
        <f t="shared" si="12"/>
        <v>3.1902685333945378E-2</v>
      </c>
    </row>
    <row r="718" spans="1:12" ht="14.25" customHeight="1" x14ac:dyDescent="0.3">
      <c r="A718" s="6" t="s">
        <v>742</v>
      </c>
      <c r="B718" s="6" t="s">
        <v>30</v>
      </c>
      <c r="C718" s="7">
        <v>45554</v>
      </c>
      <c r="D718" s="6" t="s">
        <v>20</v>
      </c>
      <c r="E718" s="8">
        <v>18489</v>
      </c>
      <c r="F718" s="8">
        <v>11208</v>
      </c>
      <c r="G718" s="8">
        <v>519</v>
      </c>
      <c r="H718" s="8">
        <v>262</v>
      </c>
      <c r="I718" s="8">
        <v>156</v>
      </c>
      <c r="J718" s="19">
        <f t="shared" si="16"/>
        <v>5.067878197847369E-2</v>
      </c>
      <c r="K718" s="9">
        <v>8.36</v>
      </c>
      <c r="L718" s="10">
        <f t="shared" si="12"/>
        <v>5.067878197847369E-2</v>
      </c>
    </row>
    <row r="719" spans="1:12" ht="14.25" customHeight="1" x14ac:dyDescent="0.3">
      <c r="A719" s="6" t="s">
        <v>743</v>
      </c>
      <c r="B719" s="6" t="s">
        <v>30</v>
      </c>
      <c r="C719" s="7">
        <v>45886</v>
      </c>
      <c r="D719" s="6" t="s">
        <v>14</v>
      </c>
      <c r="E719" s="8">
        <v>8150</v>
      </c>
      <c r="F719" s="8">
        <v>3795</v>
      </c>
      <c r="G719" s="8">
        <v>184</v>
      </c>
      <c r="H719" s="8">
        <v>86</v>
      </c>
      <c r="I719" s="8">
        <v>18</v>
      </c>
      <c r="J719" s="19">
        <f t="shared" si="16"/>
        <v>3.5337423312883434E-2</v>
      </c>
      <c r="K719" s="9">
        <v>7.59</v>
      </c>
      <c r="L719" s="10">
        <f t="shared" si="12"/>
        <v>3.5337423312883434E-2</v>
      </c>
    </row>
    <row r="720" spans="1:12" ht="14.25" customHeight="1" x14ac:dyDescent="0.3">
      <c r="A720" s="6" t="s">
        <v>744</v>
      </c>
      <c r="B720" s="6" t="s">
        <v>19</v>
      </c>
      <c r="C720" s="7">
        <v>45839</v>
      </c>
      <c r="D720" s="6" t="s">
        <v>20</v>
      </c>
      <c r="E720" s="8">
        <v>38223</v>
      </c>
      <c r="F720" s="8">
        <v>21921</v>
      </c>
      <c r="G720" s="8">
        <v>154</v>
      </c>
      <c r="H720" s="8">
        <v>148</v>
      </c>
      <c r="I720" s="8">
        <v>388</v>
      </c>
      <c r="J720" s="19">
        <f t="shared" si="16"/>
        <v>1.805195824503571E-2</v>
      </c>
      <c r="K720" s="9">
        <v>3.15</v>
      </c>
      <c r="L720" s="10">
        <f t="shared" si="12"/>
        <v>1.805195824503571E-2</v>
      </c>
    </row>
    <row r="721" spans="1:12" ht="14.25" customHeight="1" x14ac:dyDescent="0.3">
      <c r="A721" s="6" t="s">
        <v>745</v>
      </c>
      <c r="B721" s="6" t="s">
        <v>13</v>
      </c>
      <c r="C721" s="7">
        <v>45957</v>
      </c>
      <c r="D721" s="6" t="s">
        <v>25</v>
      </c>
      <c r="E721" s="8">
        <v>32977</v>
      </c>
      <c r="F721" s="8">
        <v>11560</v>
      </c>
      <c r="G721" s="8">
        <v>298</v>
      </c>
      <c r="H721" s="8">
        <v>98</v>
      </c>
      <c r="I721" s="8">
        <v>169</v>
      </c>
      <c r="J721" s="19">
        <f t="shared" si="16"/>
        <v>1.713315340995239E-2</v>
      </c>
      <c r="K721" s="9">
        <v>4.8899999999999997</v>
      </c>
      <c r="L721" s="10">
        <f t="shared" si="12"/>
        <v>1.713315340995239E-2</v>
      </c>
    </row>
    <row r="722" spans="1:12" ht="14.25" customHeight="1" x14ac:dyDescent="0.3">
      <c r="A722" s="6" t="s">
        <v>746</v>
      </c>
      <c r="B722" s="6" t="s">
        <v>19</v>
      </c>
      <c r="C722" s="7">
        <v>45526</v>
      </c>
      <c r="D722" s="6" t="s">
        <v>20</v>
      </c>
      <c r="E722" s="8">
        <v>57675</v>
      </c>
      <c r="F722" s="8">
        <v>35760</v>
      </c>
      <c r="G722" s="8">
        <v>1050</v>
      </c>
      <c r="H722" s="8">
        <v>194</v>
      </c>
      <c r="I722" s="8">
        <v>445</v>
      </c>
      <c r="J722" s="19">
        <f t="shared" si="16"/>
        <v>2.9284785435630688E-2</v>
      </c>
      <c r="K722" s="9">
        <v>4.72</v>
      </c>
      <c r="L722" s="10">
        <f t="shared" si="12"/>
        <v>2.9284785435630688E-2</v>
      </c>
    </row>
    <row r="723" spans="1:12" ht="14.25" customHeight="1" x14ac:dyDescent="0.3">
      <c r="A723" s="6" t="s">
        <v>747</v>
      </c>
      <c r="B723" s="6" t="s">
        <v>16</v>
      </c>
      <c r="C723" s="7">
        <v>45668</v>
      </c>
      <c r="D723" s="6" t="s">
        <v>23</v>
      </c>
      <c r="E723" s="8">
        <v>87852</v>
      </c>
      <c r="F723" s="8">
        <v>38483</v>
      </c>
      <c r="G723" s="8">
        <v>1783</v>
      </c>
      <c r="H723" s="8">
        <v>380</v>
      </c>
      <c r="I723" s="8">
        <v>69</v>
      </c>
      <c r="J723" s="19">
        <f t="shared" si="16"/>
        <v>2.5406365250648818E-2</v>
      </c>
      <c r="K723" s="9">
        <v>5.8</v>
      </c>
      <c r="L723" s="10">
        <f t="shared" si="12"/>
        <v>2.5406365250648818E-2</v>
      </c>
    </row>
    <row r="724" spans="1:12" ht="14.25" customHeight="1" x14ac:dyDescent="0.3">
      <c r="A724" s="6" t="s">
        <v>748</v>
      </c>
      <c r="B724" s="6" t="s">
        <v>30</v>
      </c>
      <c r="C724" s="7">
        <v>45385</v>
      </c>
      <c r="D724" s="6" t="s">
        <v>25</v>
      </c>
      <c r="E724" s="8">
        <v>10551</v>
      </c>
      <c r="F724" s="8">
        <v>5565</v>
      </c>
      <c r="G724" s="8">
        <v>130</v>
      </c>
      <c r="H724" s="8">
        <v>65</v>
      </c>
      <c r="I724" s="8">
        <v>23</v>
      </c>
      <c r="J724" s="19">
        <f t="shared" si="16"/>
        <v>2.0661548668372665E-2</v>
      </c>
      <c r="K724" s="9">
        <v>3.92</v>
      </c>
      <c r="L724" s="10">
        <f t="shared" si="12"/>
        <v>2.0661548668372665E-2</v>
      </c>
    </row>
    <row r="725" spans="1:12" ht="14.25" customHeight="1" x14ac:dyDescent="0.3">
      <c r="A725" s="6" t="s">
        <v>749</v>
      </c>
      <c r="B725" s="6" t="s">
        <v>16</v>
      </c>
      <c r="C725" s="7">
        <v>45945</v>
      </c>
      <c r="D725" s="6" t="s">
        <v>17</v>
      </c>
      <c r="E725" s="8">
        <v>29314</v>
      </c>
      <c r="F725" s="8">
        <v>15386</v>
      </c>
      <c r="G725" s="8">
        <v>381</v>
      </c>
      <c r="H725" s="8">
        <v>69</v>
      </c>
      <c r="I725" s="8">
        <v>105</v>
      </c>
      <c r="J725" s="19">
        <f t="shared" si="16"/>
        <v>1.8932933069523095E-2</v>
      </c>
      <c r="K725" s="9">
        <v>3.61</v>
      </c>
      <c r="L725" s="10">
        <f t="shared" si="12"/>
        <v>1.8932933069523095E-2</v>
      </c>
    </row>
    <row r="726" spans="1:12" ht="14.25" customHeight="1" x14ac:dyDescent="0.3">
      <c r="A726" s="6" t="s">
        <v>750</v>
      </c>
      <c r="B726" s="6" t="s">
        <v>16</v>
      </c>
      <c r="C726" s="7">
        <v>45460</v>
      </c>
      <c r="D726" s="6" t="s">
        <v>20</v>
      </c>
      <c r="E726" s="8">
        <v>74816</v>
      </c>
      <c r="F726" s="8">
        <v>55347</v>
      </c>
      <c r="G726" s="8">
        <v>4283</v>
      </c>
      <c r="H726" s="8">
        <v>218</v>
      </c>
      <c r="I726" s="8">
        <v>519</v>
      </c>
      <c r="J726" s="19">
        <f t="shared" si="16"/>
        <v>6.7097946963216429E-2</v>
      </c>
      <c r="K726" s="9">
        <v>9.07</v>
      </c>
      <c r="L726" s="10">
        <f t="shared" si="12"/>
        <v>6.7097946963216429E-2</v>
      </c>
    </row>
    <row r="727" spans="1:12" ht="14.25" customHeight="1" x14ac:dyDescent="0.3">
      <c r="A727" s="6" t="s">
        <v>751</v>
      </c>
      <c r="B727" s="6" t="s">
        <v>16</v>
      </c>
      <c r="C727" s="7">
        <v>45958</v>
      </c>
      <c r="D727" s="6" t="s">
        <v>17</v>
      </c>
      <c r="E727" s="8">
        <v>18345</v>
      </c>
      <c r="F727" s="8">
        <v>13111</v>
      </c>
      <c r="G727" s="8">
        <v>923</v>
      </c>
      <c r="H727" s="8">
        <v>79</v>
      </c>
      <c r="I727" s="8">
        <v>17</v>
      </c>
      <c r="J727" s="19">
        <f t="shared" si="16"/>
        <v>5.5546470427909514E-2</v>
      </c>
      <c r="K727" s="9">
        <v>7.77</v>
      </c>
      <c r="L727" s="10">
        <f t="shared" si="12"/>
        <v>5.5546470427909514E-2</v>
      </c>
    </row>
    <row r="728" spans="1:12" ht="14.25" customHeight="1" x14ac:dyDescent="0.3">
      <c r="A728" s="6" t="s">
        <v>752</v>
      </c>
      <c r="B728" s="6" t="s">
        <v>22</v>
      </c>
      <c r="C728" s="7">
        <v>45628</v>
      </c>
      <c r="D728" s="6" t="s">
        <v>23</v>
      </c>
      <c r="E728" s="8">
        <v>84679</v>
      </c>
      <c r="F728" s="8">
        <v>56993</v>
      </c>
      <c r="G728" s="8">
        <v>3452</v>
      </c>
      <c r="H728" s="8">
        <v>763</v>
      </c>
      <c r="I728" s="8">
        <v>2444</v>
      </c>
      <c r="J728" s="19">
        <f t="shared" si="16"/>
        <v>7.8638151135464518E-2</v>
      </c>
      <c r="K728" s="9">
        <v>11.68</v>
      </c>
      <c r="L728" s="10">
        <f t="shared" si="12"/>
        <v>7.8638151135464518E-2</v>
      </c>
    </row>
    <row r="729" spans="1:12" ht="14.25" customHeight="1" x14ac:dyDescent="0.3">
      <c r="A729" s="6" t="s">
        <v>753</v>
      </c>
      <c r="B729" s="6" t="s">
        <v>16</v>
      </c>
      <c r="C729" s="7">
        <v>45876</v>
      </c>
      <c r="D729" s="6" t="s">
        <v>20</v>
      </c>
      <c r="E729" s="8">
        <v>29143</v>
      </c>
      <c r="F729" s="8">
        <v>15606</v>
      </c>
      <c r="G729" s="8">
        <v>1093</v>
      </c>
      <c r="H729" s="8">
        <v>150</v>
      </c>
      <c r="I729" s="8">
        <v>58</v>
      </c>
      <c r="J729" s="19">
        <f t="shared" si="16"/>
        <v>4.4641938029715542E-2</v>
      </c>
      <c r="K729" s="9">
        <v>8.34</v>
      </c>
      <c r="L729" s="10">
        <f t="shared" si="12"/>
        <v>4.4641938029715542E-2</v>
      </c>
    </row>
    <row r="730" spans="1:12" ht="14.25" customHeight="1" x14ac:dyDescent="0.3">
      <c r="A730" s="6" t="s">
        <v>754</v>
      </c>
      <c r="B730" s="6" t="s">
        <v>13</v>
      </c>
      <c r="C730" s="7">
        <v>45345</v>
      </c>
      <c r="D730" s="6" t="s">
        <v>20</v>
      </c>
      <c r="E730" s="8">
        <v>45375</v>
      </c>
      <c r="F730" s="8">
        <v>28348</v>
      </c>
      <c r="G730" s="8">
        <v>982</v>
      </c>
      <c r="H730" s="8">
        <v>138</v>
      </c>
      <c r="I730" s="8">
        <v>474</v>
      </c>
      <c r="J730" s="19">
        <f t="shared" si="16"/>
        <v>3.5129476584022039E-2</v>
      </c>
      <c r="K730" s="9">
        <v>5.62</v>
      </c>
      <c r="L730" s="10">
        <f t="shared" si="12"/>
        <v>3.5129476584022039E-2</v>
      </c>
    </row>
    <row r="731" spans="1:12" ht="14.25" customHeight="1" x14ac:dyDescent="0.3">
      <c r="A731" s="6" t="s">
        <v>755</v>
      </c>
      <c r="B731" s="6" t="s">
        <v>19</v>
      </c>
      <c r="C731" s="7">
        <v>45293</v>
      </c>
      <c r="D731" s="6" t="s">
        <v>17</v>
      </c>
      <c r="E731" s="8">
        <v>13665</v>
      </c>
      <c r="F731" s="8">
        <v>9857</v>
      </c>
      <c r="G731" s="8">
        <v>103</v>
      </c>
      <c r="H731" s="8">
        <v>61</v>
      </c>
      <c r="I731" s="8">
        <v>141</v>
      </c>
      <c r="J731" s="19">
        <f t="shared" si="16"/>
        <v>2.2319795096963045E-2</v>
      </c>
      <c r="K731" s="9">
        <v>3.09</v>
      </c>
      <c r="L731" s="10">
        <f t="shared" si="12"/>
        <v>2.2319795096963045E-2</v>
      </c>
    </row>
    <row r="732" spans="1:12" ht="14.25" customHeight="1" x14ac:dyDescent="0.3">
      <c r="A732" s="6" t="s">
        <v>756</v>
      </c>
      <c r="B732" s="6" t="s">
        <v>22</v>
      </c>
      <c r="C732" s="7">
        <v>45332</v>
      </c>
      <c r="D732" s="6" t="s">
        <v>20</v>
      </c>
      <c r="E732" s="8">
        <v>354002</v>
      </c>
      <c r="F732" s="8">
        <v>187195</v>
      </c>
      <c r="G732" s="8">
        <v>14646</v>
      </c>
      <c r="H732" s="8">
        <v>2605</v>
      </c>
      <c r="I732" s="8">
        <v>2589</v>
      </c>
      <c r="J732" s="19">
        <f t="shared" si="16"/>
        <v>5.6044881102366655E-2</v>
      </c>
      <c r="K732" s="9">
        <v>10.6</v>
      </c>
      <c r="L732" s="10">
        <f t="shared" si="12"/>
        <v>5.6044881102366655E-2</v>
      </c>
    </row>
    <row r="733" spans="1:12" ht="14.25" customHeight="1" x14ac:dyDescent="0.3">
      <c r="A733" s="6" t="s">
        <v>757</v>
      </c>
      <c r="B733" s="6" t="s">
        <v>22</v>
      </c>
      <c r="C733" s="7">
        <v>45518</v>
      </c>
      <c r="D733" s="6" t="s">
        <v>23</v>
      </c>
      <c r="E733" s="8">
        <v>500863</v>
      </c>
      <c r="F733" s="8">
        <v>228827</v>
      </c>
      <c r="G733" s="8">
        <v>7070</v>
      </c>
      <c r="H733" s="8">
        <v>3230</v>
      </c>
      <c r="I733" s="8">
        <v>10832</v>
      </c>
      <c r="J733" s="19">
        <f t="shared" si="16"/>
        <v>4.2191178026725874E-2</v>
      </c>
      <c r="K733" s="9">
        <v>9.23</v>
      </c>
      <c r="L733" s="10">
        <f t="shared" si="12"/>
        <v>4.2191178026725874E-2</v>
      </c>
    </row>
    <row r="734" spans="1:12" ht="14.25" customHeight="1" x14ac:dyDescent="0.3">
      <c r="A734" s="6" t="s">
        <v>758</v>
      </c>
      <c r="B734" s="6" t="s">
        <v>19</v>
      </c>
      <c r="C734" s="7">
        <v>45854</v>
      </c>
      <c r="D734" s="6" t="s">
        <v>17</v>
      </c>
      <c r="E734" s="8">
        <v>23524</v>
      </c>
      <c r="F734" s="8">
        <v>15820</v>
      </c>
      <c r="G734" s="8">
        <v>267</v>
      </c>
      <c r="H734" s="8">
        <v>125</v>
      </c>
      <c r="I734" s="8">
        <v>203</v>
      </c>
      <c r="J734" s="19">
        <f t="shared" si="16"/>
        <v>2.5293317463016492E-2</v>
      </c>
      <c r="K734" s="9">
        <v>3.76</v>
      </c>
      <c r="L734" s="10">
        <f t="shared" si="12"/>
        <v>2.5293317463016492E-2</v>
      </c>
    </row>
    <row r="735" spans="1:12" ht="14.25" customHeight="1" x14ac:dyDescent="0.3">
      <c r="A735" s="6" t="s">
        <v>759</v>
      </c>
      <c r="B735" s="6" t="s">
        <v>22</v>
      </c>
      <c r="C735" s="7">
        <v>45465</v>
      </c>
      <c r="D735" s="6" t="s">
        <v>23</v>
      </c>
      <c r="E735" s="8">
        <v>379546</v>
      </c>
      <c r="F735" s="8">
        <v>244938</v>
      </c>
      <c r="G735" s="8">
        <v>17987</v>
      </c>
      <c r="H735" s="8">
        <v>4666</v>
      </c>
      <c r="I735" s="8">
        <v>9574</v>
      </c>
      <c r="J735" s="19">
        <f t="shared" si="16"/>
        <v>8.4909339052446867E-2</v>
      </c>
      <c r="K735" s="9">
        <v>13.16</v>
      </c>
      <c r="L735" s="10">
        <f t="shared" si="12"/>
        <v>8.4909339052446867E-2</v>
      </c>
    </row>
    <row r="736" spans="1:12" ht="14.25" customHeight="1" x14ac:dyDescent="0.3">
      <c r="A736" s="6" t="s">
        <v>760</v>
      </c>
      <c r="B736" s="6" t="s">
        <v>22</v>
      </c>
      <c r="C736" s="7">
        <v>45532</v>
      </c>
      <c r="D736" s="6" t="s">
        <v>20</v>
      </c>
      <c r="E736" s="8">
        <v>175978</v>
      </c>
      <c r="F736" s="8">
        <v>102798</v>
      </c>
      <c r="G736" s="8">
        <v>7603</v>
      </c>
      <c r="H736" s="8">
        <v>735</v>
      </c>
      <c r="I736" s="8">
        <v>2192</v>
      </c>
      <c r="J736" s="19">
        <f t="shared" si="16"/>
        <v>5.9837025082680788E-2</v>
      </c>
      <c r="K736" s="9">
        <v>10.24</v>
      </c>
      <c r="L736" s="10">
        <f t="shared" si="12"/>
        <v>5.9837025082680788E-2</v>
      </c>
    </row>
    <row r="737" spans="1:12" ht="14.25" customHeight="1" x14ac:dyDescent="0.3">
      <c r="A737" s="6" t="s">
        <v>761</v>
      </c>
      <c r="B737" s="6" t="s">
        <v>30</v>
      </c>
      <c r="C737" s="7">
        <v>45343</v>
      </c>
      <c r="D737" s="6" t="s">
        <v>25</v>
      </c>
      <c r="E737" s="8">
        <v>17851</v>
      </c>
      <c r="F737" s="8">
        <v>10653</v>
      </c>
      <c r="G737" s="8">
        <v>613</v>
      </c>
      <c r="H737" s="8">
        <v>83</v>
      </c>
      <c r="I737" s="8">
        <v>51</v>
      </c>
      <c r="J737" s="19">
        <f t="shared" si="16"/>
        <v>4.1846395159935018E-2</v>
      </c>
      <c r="K737" s="9">
        <v>7.01</v>
      </c>
      <c r="L737" s="10">
        <f t="shared" si="12"/>
        <v>4.1846395159935018E-2</v>
      </c>
    </row>
    <row r="738" spans="1:12" ht="14.25" customHeight="1" x14ac:dyDescent="0.3">
      <c r="A738" s="6" t="s">
        <v>762</v>
      </c>
      <c r="B738" s="6" t="s">
        <v>13</v>
      </c>
      <c r="C738" s="7">
        <v>45622</v>
      </c>
      <c r="D738" s="6" t="s">
        <v>14</v>
      </c>
      <c r="E738" s="8">
        <v>3182</v>
      </c>
      <c r="F738" s="8">
        <v>1939</v>
      </c>
      <c r="G738" s="8">
        <v>95</v>
      </c>
      <c r="H738" s="8">
        <v>13</v>
      </c>
      <c r="I738" s="8">
        <v>55</v>
      </c>
      <c r="J738" s="19">
        <f t="shared" si="16"/>
        <v>5.1225644248900061E-2</v>
      </c>
      <c r="K738" s="9">
        <v>8.41</v>
      </c>
      <c r="L738" s="10">
        <f t="shared" si="12"/>
        <v>5.1225644248900061E-2</v>
      </c>
    </row>
    <row r="739" spans="1:12" ht="14.25" customHeight="1" x14ac:dyDescent="0.3">
      <c r="A739" s="6" t="s">
        <v>763</v>
      </c>
      <c r="B739" s="6" t="s">
        <v>16</v>
      </c>
      <c r="C739" s="7">
        <v>45477</v>
      </c>
      <c r="D739" s="6" t="s">
        <v>25</v>
      </c>
      <c r="E739" s="8">
        <v>44248</v>
      </c>
      <c r="F739" s="8">
        <v>21842</v>
      </c>
      <c r="G739" s="8">
        <v>1232</v>
      </c>
      <c r="H739" s="8">
        <v>170</v>
      </c>
      <c r="I739" s="8">
        <v>37</v>
      </c>
      <c r="J739" s="19">
        <f t="shared" si="16"/>
        <v>3.2521243898029288E-2</v>
      </c>
      <c r="K739" s="9">
        <v>6.59</v>
      </c>
      <c r="L739" s="10">
        <f t="shared" si="12"/>
        <v>3.2521243898029288E-2</v>
      </c>
    </row>
    <row r="740" spans="1:12" ht="14.25" customHeight="1" x14ac:dyDescent="0.3">
      <c r="A740" s="6" t="s">
        <v>764</v>
      </c>
      <c r="B740" s="6" t="s">
        <v>13</v>
      </c>
      <c r="C740" s="7">
        <v>45652</v>
      </c>
      <c r="D740" s="6" t="s">
        <v>25</v>
      </c>
      <c r="E740" s="8">
        <v>45960</v>
      </c>
      <c r="F740" s="8">
        <v>27219</v>
      </c>
      <c r="G740" s="8">
        <v>568</v>
      </c>
      <c r="H740" s="8">
        <v>157</v>
      </c>
      <c r="I740" s="8">
        <v>161</v>
      </c>
      <c r="J740" s="19">
        <f t="shared" si="16"/>
        <v>1.9277632724107919E-2</v>
      </c>
      <c r="K740" s="9">
        <v>3.26</v>
      </c>
      <c r="L740" s="10">
        <f t="shared" si="12"/>
        <v>1.9277632724107919E-2</v>
      </c>
    </row>
    <row r="741" spans="1:12" ht="14.25" customHeight="1" x14ac:dyDescent="0.3">
      <c r="A741" s="6" t="s">
        <v>765</v>
      </c>
      <c r="B741" s="6" t="s">
        <v>16</v>
      </c>
      <c r="C741" s="7">
        <v>45344</v>
      </c>
      <c r="D741" s="6" t="s">
        <v>20</v>
      </c>
      <c r="E741" s="8">
        <v>63176</v>
      </c>
      <c r="F741" s="8">
        <v>32514</v>
      </c>
      <c r="G741" s="8">
        <v>1668</v>
      </c>
      <c r="H741" s="8">
        <v>177</v>
      </c>
      <c r="I741" s="8">
        <v>185</v>
      </c>
      <c r="J741" s="19">
        <f t="shared" si="16"/>
        <v>3.2132455362795999E-2</v>
      </c>
      <c r="K741" s="9">
        <v>6.24</v>
      </c>
      <c r="L741" s="10">
        <f t="shared" si="12"/>
        <v>3.2132455362795999E-2</v>
      </c>
    </row>
    <row r="742" spans="1:12" ht="14.25" customHeight="1" x14ac:dyDescent="0.3">
      <c r="A742" s="6" t="s">
        <v>766</v>
      </c>
      <c r="B742" s="6" t="s">
        <v>16</v>
      </c>
      <c r="C742" s="7">
        <v>45671</v>
      </c>
      <c r="D742" s="6" t="s">
        <v>23</v>
      </c>
      <c r="E742" s="8">
        <v>8474</v>
      </c>
      <c r="F742" s="8">
        <v>4884</v>
      </c>
      <c r="G742" s="8">
        <v>252</v>
      </c>
      <c r="H742" s="8">
        <v>27</v>
      </c>
      <c r="I742" s="8">
        <v>16</v>
      </c>
      <c r="J742" s="19">
        <f t="shared" si="16"/>
        <v>3.4812367240972385E-2</v>
      </c>
      <c r="K742" s="9">
        <v>6.04</v>
      </c>
      <c r="L742" s="10">
        <f t="shared" si="12"/>
        <v>3.4812367240972385E-2</v>
      </c>
    </row>
    <row r="743" spans="1:12" ht="14.25" customHeight="1" x14ac:dyDescent="0.3">
      <c r="A743" s="6" t="s">
        <v>767</v>
      </c>
      <c r="B743" s="6" t="s">
        <v>19</v>
      </c>
      <c r="C743" s="7">
        <v>45627</v>
      </c>
      <c r="D743" s="6" t="s">
        <v>14</v>
      </c>
      <c r="E743" s="8">
        <v>24643</v>
      </c>
      <c r="F743" s="8">
        <v>12830</v>
      </c>
      <c r="G743" s="8">
        <v>151</v>
      </c>
      <c r="H743" s="8">
        <v>43</v>
      </c>
      <c r="I743" s="8">
        <v>101</v>
      </c>
      <c r="J743" s="19">
        <f t="shared" si="16"/>
        <v>1.1970945095970457E-2</v>
      </c>
      <c r="K743" s="9">
        <v>2.2999999999999998</v>
      </c>
      <c r="L743" s="10">
        <f t="shared" si="12"/>
        <v>1.1970945095970457E-2</v>
      </c>
    </row>
    <row r="744" spans="1:12" ht="14.25" customHeight="1" x14ac:dyDescent="0.3">
      <c r="A744" s="6" t="s">
        <v>768</v>
      </c>
      <c r="B744" s="6" t="s">
        <v>19</v>
      </c>
      <c r="C744" s="7">
        <v>45398</v>
      </c>
      <c r="D744" s="6" t="s">
        <v>17</v>
      </c>
      <c r="E744" s="8">
        <v>18893</v>
      </c>
      <c r="F744" s="8">
        <v>11508</v>
      </c>
      <c r="G744" s="8">
        <v>103</v>
      </c>
      <c r="H744" s="8">
        <v>30</v>
      </c>
      <c r="I744" s="8">
        <v>23</v>
      </c>
      <c r="J744" s="19">
        <f t="shared" si="16"/>
        <v>8.2570264118985871E-3</v>
      </c>
      <c r="K744" s="9">
        <v>1.36</v>
      </c>
      <c r="L744" s="10">
        <f t="shared" si="12"/>
        <v>8.2570264118985871E-3</v>
      </c>
    </row>
    <row r="745" spans="1:12" ht="14.25" customHeight="1" x14ac:dyDescent="0.3">
      <c r="A745" s="6" t="s">
        <v>769</v>
      </c>
      <c r="B745" s="6" t="s">
        <v>19</v>
      </c>
      <c r="C745" s="7">
        <v>45344</v>
      </c>
      <c r="D745" s="6" t="s">
        <v>17</v>
      </c>
      <c r="E745" s="8">
        <v>16687</v>
      </c>
      <c r="F745" s="8">
        <v>8832</v>
      </c>
      <c r="G745" s="8">
        <v>149</v>
      </c>
      <c r="H745" s="8">
        <v>10</v>
      </c>
      <c r="I745" s="8">
        <v>166</v>
      </c>
      <c r="J745" s="19">
        <f t="shared" si="16"/>
        <v>1.9476238988434109E-2</v>
      </c>
      <c r="K745" s="9">
        <v>3.68</v>
      </c>
      <c r="L745" s="10">
        <f t="shared" si="12"/>
        <v>1.9476238988434109E-2</v>
      </c>
    </row>
    <row r="746" spans="1:12" ht="14.25" customHeight="1" x14ac:dyDescent="0.3">
      <c r="A746" s="6" t="s">
        <v>770</v>
      </c>
      <c r="B746" s="6" t="s">
        <v>30</v>
      </c>
      <c r="C746" s="7">
        <v>45677</v>
      </c>
      <c r="D746" s="6" t="s">
        <v>17</v>
      </c>
      <c r="E746" s="8">
        <v>6126</v>
      </c>
      <c r="F746" s="8">
        <v>2556</v>
      </c>
      <c r="G746" s="8">
        <v>101</v>
      </c>
      <c r="H746" s="8">
        <v>62</v>
      </c>
      <c r="I746" s="8">
        <v>12</v>
      </c>
      <c r="J746" s="19">
        <f t="shared" si="16"/>
        <v>2.8566764609859616E-2</v>
      </c>
      <c r="K746" s="9">
        <v>6.85</v>
      </c>
      <c r="L746" s="10">
        <f t="shared" si="12"/>
        <v>2.8566764609859616E-2</v>
      </c>
    </row>
    <row r="747" spans="1:12" ht="14.25" customHeight="1" x14ac:dyDescent="0.3">
      <c r="A747" s="6" t="s">
        <v>771</v>
      </c>
      <c r="B747" s="6" t="s">
        <v>22</v>
      </c>
      <c r="C747" s="7">
        <v>45453</v>
      </c>
      <c r="D747" s="6" t="s">
        <v>23</v>
      </c>
      <c r="E747" s="8">
        <v>153582</v>
      </c>
      <c r="F747" s="8">
        <v>61067</v>
      </c>
      <c r="G747" s="8">
        <v>2112</v>
      </c>
      <c r="H747" s="8">
        <v>1732</v>
      </c>
      <c r="I747" s="8">
        <v>1108</v>
      </c>
      <c r="J747" s="19">
        <f t="shared" si="16"/>
        <v>3.2243361852300402E-2</v>
      </c>
      <c r="K747" s="9">
        <v>8.11</v>
      </c>
      <c r="L747" s="10">
        <f t="shared" si="12"/>
        <v>3.2243361852300402E-2</v>
      </c>
    </row>
    <row r="748" spans="1:12" ht="14.25" customHeight="1" x14ac:dyDescent="0.3">
      <c r="A748" s="6" t="s">
        <v>772</v>
      </c>
      <c r="B748" s="6" t="s">
        <v>19</v>
      </c>
      <c r="C748" s="7">
        <v>45438</v>
      </c>
      <c r="D748" s="6" t="s">
        <v>20</v>
      </c>
      <c r="E748" s="8">
        <v>33166</v>
      </c>
      <c r="F748" s="8">
        <v>20671</v>
      </c>
      <c r="G748" s="8">
        <v>132</v>
      </c>
      <c r="H748" s="8">
        <v>105</v>
      </c>
      <c r="I748" s="8">
        <v>403</v>
      </c>
      <c r="J748" s="19">
        <f t="shared" si="16"/>
        <v>1.9296870288850028E-2</v>
      </c>
      <c r="K748" s="9">
        <v>3.1</v>
      </c>
      <c r="L748" s="10">
        <f t="shared" si="12"/>
        <v>1.9296870288850028E-2</v>
      </c>
    </row>
    <row r="749" spans="1:12" ht="14.25" customHeight="1" x14ac:dyDescent="0.3">
      <c r="A749" s="6" t="s">
        <v>773</v>
      </c>
      <c r="B749" s="6" t="s">
        <v>13</v>
      </c>
      <c r="C749" s="7">
        <v>45912</v>
      </c>
      <c r="D749" s="6" t="s">
        <v>25</v>
      </c>
      <c r="E749" s="8">
        <v>958</v>
      </c>
      <c r="F749" s="8">
        <v>636</v>
      </c>
      <c r="G749" s="8">
        <v>29</v>
      </c>
      <c r="H749" s="8">
        <v>6</v>
      </c>
      <c r="I749" s="8">
        <v>17</v>
      </c>
      <c r="J749" s="19">
        <f t="shared" si="16"/>
        <v>5.4279749478079335E-2</v>
      </c>
      <c r="K749" s="9">
        <v>8.18</v>
      </c>
      <c r="L749" s="10">
        <f t="shared" si="12"/>
        <v>5.4279749478079335E-2</v>
      </c>
    </row>
    <row r="750" spans="1:12" ht="14.25" customHeight="1" x14ac:dyDescent="0.3">
      <c r="A750" s="6" t="s">
        <v>774</v>
      </c>
      <c r="B750" s="6" t="s">
        <v>16</v>
      </c>
      <c r="C750" s="7">
        <v>45630</v>
      </c>
      <c r="D750" s="6" t="s">
        <v>20</v>
      </c>
      <c r="E750" s="8">
        <v>113024</v>
      </c>
      <c r="F750" s="8">
        <v>63107</v>
      </c>
      <c r="G750" s="8">
        <v>3534</v>
      </c>
      <c r="H750" s="8">
        <v>773</v>
      </c>
      <c r="I750" s="8">
        <v>454</v>
      </c>
      <c r="J750" s="19">
        <f t="shared" si="16"/>
        <v>4.212379671574179E-2</v>
      </c>
      <c r="K750" s="9">
        <v>7.54</v>
      </c>
      <c r="L750" s="10">
        <f t="shared" si="12"/>
        <v>4.212379671574179E-2</v>
      </c>
    </row>
    <row r="751" spans="1:12" ht="14.25" customHeight="1" x14ac:dyDescent="0.3">
      <c r="A751" s="6" t="s">
        <v>775</v>
      </c>
      <c r="B751" s="6" t="s">
        <v>13</v>
      </c>
      <c r="C751" s="7">
        <v>45561</v>
      </c>
      <c r="D751" s="6" t="s">
        <v>14</v>
      </c>
      <c r="E751" s="8">
        <v>21214</v>
      </c>
      <c r="F751" s="8">
        <v>10351</v>
      </c>
      <c r="G751" s="8">
        <v>479</v>
      </c>
      <c r="H751" s="8">
        <v>54</v>
      </c>
      <c r="I751" s="8">
        <v>195</v>
      </c>
      <c r="J751" s="19">
        <f t="shared" si="16"/>
        <v>3.4316960497784481E-2</v>
      </c>
      <c r="K751" s="9">
        <v>7.03</v>
      </c>
      <c r="L751" s="10">
        <f t="shared" si="12"/>
        <v>3.4316960497784481E-2</v>
      </c>
    </row>
    <row r="752" spans="1:12" ht="14.25" customHeight="1" x14ac:dyDescent="0.3">
      <c r="A752" s="6" t="s">
        <v>776</v>
      </c>
      <c r="B752" s="6" t="s">
        <v>13</v>
      </c>
      <c r="C752" s="7">
        <v>45690</v>
      </c>
      <c r="D752" s="6" t="s">
        <v>14</v>
      </c>
      <c r="E752" s="8">
        <v>18110</v>
      </c>
      <c r="F752" s="8">
        <v>6550</v>
      </c>
      <c r="G752" s="8">
        <v>231</v>
      </c>
      <c r="H752" s="8">
        <v>98</v>
      </c>
      <c r="I752" s="8">
        <v>81</v>
      </c>
      <c r="J752" s="19">
        <f t="shared" si="16"/>
        <v>2.2639425731639979E-2</v>
      </c>
      <c r="K752" s="9">
        <v>6.26</v>
      </c>
      <c r="L752" s="10">
        <f t="shared" si="12"/>
        <v>2.2639425731639979E-2</v>
      </c>
    </row>
    <row r="753" spans="1:12" ht="14.25" customHeight="1" x14ac:dyDescent="0.3">
      <c r="A753" s="6" t="s">
        <v>777</v>
      </c>
      <c r="B753" s="6" t="s">
        <v>22</v>
      </c>
      <c r="C753" s="7">
        <v>45371</v>
      </c>
      <c r="D753" s="6" t="s">
        <v>23</v>
      </c>
      <c r="E753" s="8">
        <v>427491</v>
      </c>
      <c r="F753" s="8">
        <v>269084</v>
      </c>
      <c r="G753" s="8">
        <v>23475</v>
      </c>
      <c r="H753" s="8">
        <v>6850</v>
      </c>
      <c r="I753" s="8">
        <v>5392</v>
      </c>
      <c r="J753" s="19">
        <f t="shared" si="16"/>
        <v>8.3550296965316226E-2</v>
      </c>
      <c r="K753" s="9">
        <v>13.27</v>
      </c>
      <c r="L753" s="10">
        <f t="shared" si="12"/>
        <v>8.3550296965316226E-2</v>
      </c>
    </row>
    <row r="754" spans="1:12" ht="14.25" customHeight="1" x14ac:dyDescent="0.3">
      <c r="A754" s="6" t="s">
        <v>778</v>
      </c>
      <c r="B754" s="6" t="s">
        <v>16</v>
      </c>
      <c r="C754" s="7">
        <v>45614</v>
      </c>
      <c r="D754" s="6" t="s">
        <v>23</v>
      </c>
      <c r="E754" s="8">
        <v>117459</v>
      </c>
      <c r="F754" s="8">
        <v>81926</v>
      </c>
      <c r="G754" s="8">
        <v>2922</v>
      </c>
      <c r="H754" s="8">
        <v>469</v>
      </c>
      <c r="I754" s="8">
        <v>298</v>
      </c>
      <c r="J754" s="19">
        <f t="shared" si="16"/>
        <v>3.1406703615729746E-2</v>
      </c>
      <c r="K754" s="9">
        <v>4.5</v>
      </c>
      <c r="L754" s="10">
        <f t="shared" si="12"/>
        <v>3.1406703615729746E-2</v>
      </c>
    </row>
    <row r="755" spans="1:12" ht="14.25" customHeight="1" x14ac:dyDescent="0.3">
      <c r="A755" s="6" t="s">
        <v>779</v>
      </c>
      <c r="B755" s="6" t="s">
        <v>13</v>
      </c>
      <c r="C755" s="7">
        <v>45868</v>
      </c>
      <c r="D755" s="6" t="s">
        <v>25</v>
      </c>
      <c r="E755" s="8">
        <v>35097</v>
      </c>
      <c r="F755" s="8">
        <v>15528</v>
      </c>
      <c r="G755" s="8">
        <v>717</v>
      </c>
      <c r="H755" s="8">
        <v>169</v>
      </c>
      <c r="I755" s="8">
        <v>430</v>
      </c>
      <c r="J755" s="19">
        <f t="shared" si="16"/>
        <v>3.7496082286235292E-2</v>
      </c>
      <c r="K755" s="9">
        <v>8.48</v>
      </c>
      <c r="L755" s="10">
        <f t="shared" si="12"/>
        <v>3.7496082286235292E-2</v>
      </c>
    </row>
    <row r="756" spans="1:12" ht="14.25" customHeight="1" x14ac:dyDescent="0.3">
      <c r="A756" s="6" t="s">
        <v>780</v>
      </c>
      <c r="B756" s="6" t="s">
        <v>30</v>
      </c>
      <c r="C756" s="7">
        <v>45911</v>
      </c>
      <c r="D756" s="6" t="s">
        <v>25</v>
      </c>
      <c r="E756" s="8">
        <v>9224</v>
      </c>
      <c r="F756" s="8">
        <v>6185</v>
      </c>
      <c r="G756" s="8">
        <v>181</v>
      </c>
      <c r="H756" s="8">
        <v>39</v>
      </c>
      <c r="I756" s="8">
        <v>27</v>
      </c>
      <c r="J756" s="19">
        <f t="shared" si="16"/>
        <v>2.6777970511708587E-2</v>
      </c>
      <c r="K756" s="9">
        <v>3.99</v>
      </c>
      <c r="L756" s="10">
        <f t="shared" si="12"/>
        <v>2.6777970511708587E-2</v>
      </c>
    </row>
    <row r="757" spans="1:12" ht="14.25" customHeight="1" x14ac:dyDescent="0.3">
      <c r="A757" s="6" t="s">
        <v>781</v>
      </c>
      <c r="B757" s="6" t="s">
        <v>13</v>
      </c>
      <c r="C757" s="7">
        <v>45994</v>
      </c>
      <c r="D757" s="6" t="s">
        <v>17</v>
      </c>
      <c r="E757" s="8">
        <v>14807</v>
      </c>
      <c r="F757" s="8">
        <v>4641</v>
      </c>
      <c r="G757" s="8">
        <v>189</v>
      </c>
      <c r="H757" s="8">
        <v>83</v>
      </c>
      <c r="I757" s="8">
        <v>65</v>
      </c>
      <c r="J757" s="19">
        <f t="shared" si="16"/>
        <v>2.275950563922469E-2</v>
      </c>
      <c r="K757" s="9">
        <v>7.26</v>
      </c>
      <c r="L757" s="10">
        <f t="shared" si="12"/>
        <v>2.275950563922469E-2</v>
      </c>
    </row>
    <row r="758" spans="1:12" ht="14.25" customHeight="1" x14ac:dyDescent="0.3">
      <c r="A758" s="6" t="s">
        <v>782</v>
      </c>
      <c r="B758" s="6" t="s">
        <v>16</v>
      </c>
      <c r="C758" s="7">
        <v>45925</v>
      </c>
      <c r="D758" s="6" t="s">
        <v>25</v>
      </c>
      <c r="E758" s="8">
        <v>56534</v>
      </c>
      <c r="F758" s="8">
        <v>26667</v>
      </c>
      <c r="G758" s="8">
        <v>1823</v>
      </c>
      <c r="H758" s="8">
        <v>220</v>
      </c>
      <c r="I758" s="8">
        <v>84</v>
      </c>
      <c r="J758" s="19">
        <f t="shared" si="16"/>
        <v>3.7623377082817419E-2</v>
      </c>
      <c r="K758" s="9">
        <v>7.98</v>
      </c>
      <c r="L758" s="10">
        <f t="shared" si="12"/>
        <v>3.7623377082817419E-2</v>
      </c>
    </row>
    <row r="759" spans="1:12" ht="14.25" customHeight="1" x14ac:dyDescent="0.3">
      <c r="A759" s="6" t="s">
        <v>783</v>
      </c>
      <c r="B759" s="6" t="s">
        <v>16</v>
      </c>
      <c r="C759" s="7">
        <v>45520</v>
      </c>
      <c r="D759" s="6" t="s">
        <v>17</v>
      </c>
      <c r="E759" s="8">
        <v>34138</v>
      </c>
      <c r="F759" s="8">
        <v>22857</v>
      </c>
      <c r="G759" s="8">
        <v>1562</v>
      </c>
      <c r="H759" s="8">
        <v>277</v>
      </c>
      <c r="I759" s="8">
        <v>160</v>
      </c>
      <c r="J759" s="19">
        <f t="shared" si="16"/>
        <v>5.8556447360712402E-2</v>
      </c>
      <c r="K759" s="9">
        <v>8.75</v>
      </c>
      <c r="L759" s="10">
        <f t="shared" si="12"/>
        <v>5.8556447360712402E-2</v>
      </c>
    </row>
    <row r="760" spans="1:12" ht="14.25" customHeight="1" x14ac:dyDescent="0.3">
      <c r="A760" s="6" t="s">
        <v>784</v>
      </c>
      <c r="B760" s="6" t="s">
        <v>13</v>
      </c>
      <c r="C760" s="7">
        <v>45868</v>
      </c>
      <c r="D760" s="6" t="s">
        <v>17</v>
      </c>
      <c r="E760" s="8">
        <v>13034</v>
      </c>
      <c r="F760" s="8">
        <v>6610</v>
      </c>
      <c r="G760" s="8">
        <v>129</v>
      </c>
      <c r="H760" s="8">
        <v>69</v>
      </c>
      <c r="I760" s="8">
        <v>57</v>
      </c>
      <c r="J760" s="19">
        <f t="shared" si="16"/>
        <v>1.9564216664109253E-2</v>
      </c>
      <c r="K760" s="9">
        <v>3.86</v>
      </c>
      <c r="L760" s="10">
        <f t="shared" si="12"/>
        <v>1.9564216664109253E-2</v>
      </c>
    </row>
    <row r="761" spans="1:12" ht="14.25" customHeight="1" x14ac:dyDescent="0.3">
      <c r="A761" s="6" t="s">
        <v>785</v>
      </c>
      <c r="B761" s="6" t="s">
        <v>30</v>
      </c>
      <c r="C761" s="7">
        <v>45459</v>
      </c>
      <c r="D761" s="6" t="s">
        <v>25</v>
      </c>
      <c r="E761" s="8">
        <v>16931</v>
      </c>
      <c r="F761" s="8">
        <v>10669</v>
      </c>
      <c r="G761" s="8">
        <v>552</v>
      </c>
      <c r="H761" s="8">
        <v>208</v>
      </c>
      <c r="I761" s="8">
        <v>63</v>
      </c>
      <c r="J761" s="19">
        <f t="shared" si="16"/>
        <v>4.8609060303585139E-2</v>
      </c>
      <c r="K761" s="9">
        <v>7.71</v>
      </c>
      <c r="L761" s="10">
        <f t="shared" si="12"/>
        <v>4.8609060303585139E-2</v>
      </c>
    </row>
    <row r="762" spans="1:12" ht="14.25" customHeight="1" x14ac:dyDescent="0.3">
      <c r="A762" s="6" t="s">
        <v>786</v>
      </c>
      <c r="B762" s="6" t="s">
        <v>22</v>
      </c>
      <c r="C762" s="7">
        <v>45693</v>
      </c>
      <c r="D762" s="6" t="s">
        <v>20</v>
      </c>
      <c r="E762" s="8">
        <v>470236</v>
      </c>
      <c r="F762" s="8">
        <v>181713</v>
      </c>
      <c r="G762" s="8">
        <v>14405</v>
      </c>
      <c r="H762" s="8">
        <v>1979</v>
      </c>
      <c r="I762" s="8">
        <v>3187</v>
      </c>
      <c r="J762" s="19">
        <f t="shared" si="16"/>
        <v>4.161952721612127E-2</v>
      </c>
      <c r="K762" s="9">
        <v>10.77</v>
      </c>
      <c r="L762" s="10">
        <f t="shared" si="12"/>
        <v>4.161952721612127E-2</v>
      </c>
    </row>
    <row r="763" spans="1:12" ht="14.25" customHeight="1" x14ac:dyDescent="0.3">
      <c r="A763" s="6" t="s">
        <v>787</v>
      </c>
      <c r="B763" s="6" t="s">
        <v>22</v>
      </c>
      <c r="C763" s="7">
        <v>45410</v>
      </c>
      <c r="D763" s="6" t="s">
        <v>23</v>
      </c>
      <c r="E763" s="8">
        <v>137714</v>
      </c>
      <c r="F763" s="8">
        <v>93775</v>
      </c>
      <c r="G763" s="8">
        <v>9583</v>
      </c>
      <c r="H763" s="8">
        <v>1045</v>
      </c>
      <c r="I763" s="8">
        <v>1334</v>
      </c>
      <c r="J763" s="19">
        <f t="shared" si="16"/>
        <v>8.6861176060531245E-2</v>
      </c>
      <c r="K763" s="9">
        <v>12.76</v>
      </c>
      <c r="L763" s="10">
        <f t="shared" si="12"/>
        <v>8.6861176060531245E-2</v>
      </c>
    </row>
    <row r="764" spans="1:12" ht="14.25" customHeight="1" x14ac:dyDescent="0.3">
      <c r="A764" s="6" t="s">
        <v>788</v>
      </c>
      <c r="B764" s="6" t="s">
        <v>13</v>
      </c>
      <c r="C764" s="7">
        <v>45939</v>
      </c>
      <c r="D764" s="6" t="s">
        <v>17</v>
      </c>
      <c r="E764" s="8">
        <v>6286</v>
      </c>
      <c r="F764" s="8">
        <v>4154</v>
      </c>
      <c r="G764" s="8">
        <v>141</v>
      </c>
      <c r="H764" s="8">
        <v>22</v>
      </c>
      <c r="I764" s="8">
        <v>72</v>
      </c>
      <c r="J764" s="19">
        <f t="shared" si="16"/>
        <v>3.7384664333439392E-2</v>
      </c>
      <c r="K764" s="9">
        <v>5.66</v>
      </c>
      <c r="L764" s="10">
        <f t="shared" si="12"/>
        <v>3.7384664333439392E-2</v>
      </c>
    </row>
    <row r="765" spans="1:12" ht="14.25" customHeight="1" x14ac:dyDescent="0.3">
      <c r="A765" s="6" t="s">
        <v>789</v>
      </c>
      <c r="B765" s="6" t="s">
        <v>19</v>
      </c>
      <c r="C765" s="7">
        <v>45699</v>
      </c>
      <c r="D765" s="6" t="s">
        <v>17</v>
      </c>
      <c r="E765" s="8">
        <v>17035</v>
      </c>
      <c r="F765" s="8">
        <v>13302</v>
      </c>
      <c r="G765" s="8">
        <v>143</v>
      </c>
      <c r="H765" s="8">
        <v>64</v>
      </c>
      <c r="I765" s="8">
        <v>31</v>
      </c>
      <c r="J765" s="19">
        <f t="shared" si="16"/>
        <v>1.397123569122395E-2</v>
      </c>
      <c r="K765" s="9">
        <v>1.79</v>
      </c>
      <c r="L765" s="10">
        <f t="shared" si="12"/>
        <v>1.397123569122395E-2</v>
      </c>
    </row>
    <row r="766" spans="1:12" ht="14.25" customHeight="1" x14ac:dyDescent="0.3">
      <c r="A766" s="6" t="s">
        <v>790</v>
      </c>
      <c r="B766" s="6" t="s">
        <v>22</v>
      </c>
      <c r="C766" s="7">
        <v>45336</v>
      </c>
      <c r="D766" s="6" t="s">
        <v>20</v>
      </c>
      <c r="E766" s="8">
        <v>22629</v>
      </c>
      <c r="F766" s="8">
        <v>13973</v>
      </c>
      <c r="G766" s="8">
        <v>1169</v>
      </c>
      <c r="H766" s="8">
        <v>217</v>
      </c>
      <c r="I766" s="8">
        <v>656</v>
      </c>
      <c r="J766" s="19">
        <f t="shared" si="16"/>
        <v>9.023818993327147E-2</v>
      </c>
      <c r="K766" s="9">
        <v>14.61</v>
      </c>
      <c r="L766" s="10">
        <f t="shared" si="12"/>
        <v>9.023818993327147E-2</v>
      </c>
    </row>
    <row r="767" spans="1:12" ht="14.25" customHeight="1" x14ac:dyDescent="0.3">
      <c r="A767" s="6" t="s">
        <v>791</v>
      </c>
      <c r="B767" s="6" t="s">
        <v>13</v>
      </c>
      <c r="C767" s="7">
        <v>45825</v>
      </c>
      <c r="D767" s="6" t="s">
        <v>17</v>
      </c>
      <c r="E767" s="8">
        <v>10886</v>
      </c>
      <c r="F767" s="8">
        <v>5263</v>
      </c>
      <c r="G767" s="8">
        <v>168</v>
      </c>
      <c r="H767" s="8">
        <v>100</v>
      </c>
      <c r="I767" s="8">
        <v>72</v>
      </c>
      <c r="J767" s="19">
        <f t="shared" si="16"/>
        <v>3.1232776042623554E-2</v>
      </c>
      <c r="K767" s="9">
        <v>6.46</v>
      </c>
      <c r="L767" s="10">
        <f t="shared" ref="L767:L1001" si="17">(G767+H767+I767)/E767</f>
        <v>3.1232776042623554E-2</v>
      </c>
    </row>
    <row r="768" spans="1:12" ht="14.25" customHeight="1" x14ac:dyDescent="0.3">
      <c r="A768" s="6" t="s">
        <v>792</v>
      </c>
      <c r="B768" s="6" t="s">
        <v>16</v>
      </c>
      <c r="C768" s="7">
        <v>45918</v>
      </c>
      <c r="D768" s="6" t="s">
        <v>23</v>
      </c>
      <c r="E768" s="8">
        <v>16928</v>
      </c>
      <c r="F768" s="8">
        <v>9735</v>
      </c>
      <c r="G768" s="8">
        <v>518</v>
      </c>
      <c r="H768" s="8">
        <v>120</v>
      </c>
      <c r="I768" s="8">
        <v>90</v>
      </c>
      <c r="J768" s="19">
        <f t="shared" si="16"/>
        <v>4.3005671077504727E-2</v>
      </c>
      <c r="K768" s="9">
        <v>7.48</v>
      </c>
      <c r="L768" s="10">
        <f t="shared" si="17"/>
        <v>4.3005671077504727E-2</v>
      </c>
    </row>
    <row r="769" spans="1:12" ht="14.25" customHeight="1" x14ac:dyDescent="0.3">
      <c r="A769" s="6" t="s">
        <v>793</v>
      </c>
      <c r="B769" s="6" t="s">
        <v>13</v>
      </c>
      <c r="C769" s="7">
        <v>45980</v>
      </c>
      <c r="D769" s="6" t="s">
        <v>14</v>
      </c>
      <c r="E769" s="8">
        <v>7099</v>
      </c>
      <c r="F769" s="8">
        <v>3168</v>
      </c>
      <c r="G769" s="8">
        <v>118</v>
      </c>
      <c r="H769" s="8">
        <v>32</v>
      </c>
      <c r="I769" s="8">
        <v>91</v>
      </c>
      <c r="J769" s="19">
        <f t="shared" si="16"/>
        <v>3.3948443442738417E-2</v>
      </c>
      <c r="K769" s="9">
        <v>7.61</v>
      </c>
      <c r="L769" s="10">
        <f t="shared" si="17"/>
        <v>3.3948443442738417E-2</v>
      </c>
    </row>
    <row r="770" spans="1:12" ht="14.25" customHeight="1" x14ac:dyDescent="0.3">
      <c r="A770" s="6" t="s">
        <v>794</v>
      </c>
      <c r="B770" s="6" t="s">
        <v>19</v>
      </c>
      <c r="C770" s="7">
        <v>45466</v>
      </c>
      <c r="D770" s="6" t="s">
        <v>20</v>
      </c>
      <c r="E770" s="8">
        <v>36817</v>
      </c>
      <c r="F770" s="8">
        <v>28588</v>
      </c>
      <c r="G770" s="8">
        <v>585</v>
      </c>
      <c r="H770" s="8">
        <v>184</v>
      </c>
      <c r="I770" s="8">
        <v>234</v>
      </c>
      <c r="J770" s="19">
        <f t="shared" si="16"/>
        <v>2.7242849770486459E-2</v>
      </c>
      <c r="K770" s="9">
        <v>3.51</v>
      </c>
      <c r="L770" s="10">
        <f t="shared" si="17"/>
        <v>2.7242849770486459E-2</v>
      </c>
    </row>
    <row r="771" spans="1:12" ht="14.25" customHeight="1" x14ac:dyDescent="0.3">
      <c r="A771" s="6" t="s">
        <v>795</v>
      </c>
      <c r="B771" s="6" t="s">
        <v>22</v>
      </c>
      <c r="C771" s="7">
        <v>45927</v>
      </c>
      <c r="D771" s="6" t="s">
        <v>20</v>
      </c>
      <c r="E771" s="8">
        <v>250782</v>
      </c>
      <c r="F771" s="8">
        <v>167014</v>
      </c>
      <c r="G771" s="8">
        <v>11930</v>
      </c>
      <c r="H771" s="8">
        <v>3434</v>
      </c>
      <c r="I771" s="8">
        <v>6584</v>
      </c>
      <c r="J771" s="19">
        <f t="shared" ref="J771:J834" si="18">(G771+H771+I771)/E771</f>
        <v>8.7518242936095891E-2</v>
      </c>
      <c r="K771" s="9">
        <v>13.14</v>
      </c>
      <c r="L771" s="10">
        <f t="shared" si="17"/>
        <v>8.7518242936095891E-2</v>
      </c>
    </row>
    <row r="772" spans="1:12" ht="14.25" customHeight="1" x14ac:dyDescent="0.3">
      <c r="A772" s="6" t="s">
        <v>796</v>
      </c>
      <c r="B772" s="6" t="s">
        <v>19</v>
      </c>
      <c r="C772" s="7">
        <v>45642</v>
      </c>
      <c r="D772" s="6" t="s">
        <v>17</v>
      </c>
      <c r="E772" s="8">
        <v>2682</v>
      </c>
      <c r="F772" s="8">
        <v>1770</v>
      </c>
      <c r="G772" s="8">
        <v>44</v>
      </c>
      <c r="H772" s="8">
        <v>8</v>
      </c>
      <c r="I772" s="8">
        <v>11</v>
      </c>
      <c r="J772" s="19">
        <f t="shared" si="18"/>
        <v>2.3489932885906041E-2</v>
      </c>
      <c r="K772" s="9">
        <v>3.56</v>
      </c>
      <c r="L772" s="10">
        <f t="shared" si="17"/>
        <v>2.3489932885906041E-2</v>
      </c>
    </row>
    <row r="773" spans="1:12" ht="14.25" customHeight="1" x14ac:dyDescent="0.3">
      <c r="A773" s="6" t="s">
        <v>797</v>
      </c>
      <c r="B773" s="6" t="s">
        <v>13</v>
      </c>
      <c r="C773" s="7">
        <v>45959</v>
      </c>
      <c r="D773" s="6" t="s">
        <v>17</v>
      </c>
      <c r="E773" s="8">
        <v>20009</v>
      </c>
      <c r="F773" s="8">
        <v>8468</v>
      </c>
      <c r="G773" s="8">
        <v>296</v>
      </c>
      <c r="H773" s="8">
        <v>123</v>
      </c>
      <c r="I773" s="8">
        <v>63</v>
      </c>
      <c r="J773" s="19">
        <f t="shared" si="18"/>
        <v>2.4089159878054874E-2</v>
      </c>
      <c r="K773" s="9">
        <v>5.69</v>
      </c>
      <c r="L773" s="10">
        <f t="shared" si="17"/>
        <v>2.4089159878054874E-2</v>
      </c>
    </row>
    <row r="774" spans="1:12" ht="14.25" customHeight="1" x14ac:dyDescent="0.3">
      <c r="A774" s="6" t="s">
        <v>798</v>
      </c>
      <c r="B774" s="6" t="s">
        <v>13</v>
      </c>
      <c r="C774" s="7">
        <v>45415</v>
      </c>
      <c r="D774" s="6" t="s">
        <v>14</v>
      </c>
      <c r="E774" s="8">
        <v>2335</v>
      </c>
      <c r="F774" s="8">
        <v>1610</v>
      </c>
      <c r="G774" s="8">
        <v>78</v>
      </c>
      <c r="H774" s="8">
        <v>26</v>
      </c>
      <c r="I774" s="8">
        <v>42</v>
      </c>
      <c r="J774" s="19">
        <f t="shared" si="18"/>
        <v>6.2526766595289079E-2</v>
      </c>
      <c r="K774" s="9">
        <v>9.07</v>
      </c>
      <c r="L774" s="10">
        <f t="shared" si="17"/>
        <v>6.2526766595289079E-2</v>
      </c>
    </row>
    <row r="775" spans="1:12" ht="14.25" customHeight="1" x14ac:dyDescent="0.3">
      <c r="A775" s="6" t="s">
        <v>799</v>
      </c>
      <c r="B775" s="6" t="s">
        <v>22</v>
      </c>
      <c r="C775" s="7">
        <v>45316</v>
      </c>
      <c r="D775" s="6" t="s">
        <v>20</v>
      </c>
      <c r="E775" s="8">
        <v>34001</v>
      </c>
      <c r="F775" s="8">
        <v>18552</v>
      </c>
      <c r="G775" s="8">
        <v>671</v>
      </c>
      <c r="H775" s="8">
        <v>427</v>
      </c>
      <c r="I775" s="8">
        <v>524</v>
      </c>
      <c r="J775" s="19">
        <f t="shared" si="18"/>
        <v>4.7704479280021174E-2</v>
      </c>
      <c r="K775" s="9">
        <v>8.74</v>
      </c>
      <c r="L775" s="10">
        <f t="shared" si="17"/>
        <v>4.7704479280021174E-2</v>
      </c>
    </row>
    <row r="776" spans="1:12" ht="14.25" customHeight="1" x14ac:dyDescent="0.3">
      <c r="A776" s="6" t="s">
        <v>800</v>
      </c>
      <c r="B776" s="6" t="s">
        <v>19</v>
      </c>
      <c r="C776" s="7">
        <v>45902</v>
      </c>
      <c r="D776" s="6" t="s">
        <v>17</v>
      </c>
      <c r="E776" s="8">
        <v>7779</v>
      </c>
      <c r="F776" s="8">
        <v>5128</v>
      </c>
      <c r="G776" s="8">
        <v>116</v>
      </c>
      <c r="H776" s="8">
        <v>35</v>
      </c>
      <c r="I776" s="8">
        <v>34</v>
      </c>
      <c r="J776" s="19">
        <f t="shared" si="18"/>
        <v>2.3781977117881475E-2</v>
      </c>
      <c r="K776" s="9">
        <v>3.61</v>
      </c>
      <c r="L776" s="10">
        <f t="shared" si="17"/>
        <v>2.3781977117881475E-2</v>
      </c>
    </row>
    <row r="777" spans="1:12" ht="14.25" customHeight="1" x14ac:dyDescent="0.3">
      <c r="A777" s="6" t="s">
        <v>801</v>
      </c>
      <c r="B777" s="6" t="s">
        <v>16</v>
      </c>
      <c r="C777" s="7">
        <v>45634</v>
      </c>
      <c r="D777" s="6" t="s">
        <v>23</v>
      </c>
      <c r="E777" s="8">
        <v>63122</v>
      </c>
      <c r="F777" s="8">
        <v>36317</v>
      </c>
      <c r="G777" s="8">
        <v>1019</v>
      </c>
      <c r="H777" s="8">
        <v>314</v>
      </c>
      <c r="I777" s="8">
        <v>154</v>
      </c>
      <c r="J777" s="19">
        <f t="shared" si="18"/>
        <v>2.3557555210544659E-2</v>
      </c>
      <c r="K777" s="9">
        <v>4.09</v>
      </c>
      <c r="L777" s="10">
        <f t="shared" si="17"/>
        <v>2.3557555210544659E-2</v>
      </c>
    </row>
    <row r="778" spans="1:12" ht="14.25" customHeight="1" x14ac:dyDescent="0.3">
      <c r="A778" s="6" t="s">
        <v>802</v>
      </c>
      <c r="B778" s="6" t="s">
        <v>30</v>
      </c>
      <c r="C778" s="7">
        <v>45535</v>
      </c>
      <c r="D778" s="6" t="s">
        <v>25</v>
      </c>
      <c r="E778" s="8">
        <v>25468</v>
      </c>
      <c r="F778" s="8">
        <v>16797</v>
      </c>
      <c r="G778" s="8">
        <v>877</v>
      </c>
      <c r="H778" s="8">
        <v>196</v>
      </c>
      <c r="I778" s="8">
        <v>215</v>
      </c>
      <c r="J778" s="19">
        <f t="shared" si="18"/>
        <v>5.0573268415266215E-2</v>
      </c>
      <c r="K778" s="9">
        <v>7.67</v>
      </c>
      <c r="L778" s="10">
        <f t="shared" si="17"/>
        <v>5.0573268415266215E-2</v>
      </c>
    </row>
    <row r="779" spans="1:12" ht="14.25" customHeight="1" x14ac:dyDescent="0.3">
      <c r="A779" s="6" t="s">
        <v>803</v>
      </c>
      <c r="B779" s="6" t="s">
        <v>22</v>
      </c>
      <c r="C779" s="7">
        <v>45685</v>
      </c>
      <c r="D779" s="6" t="s">
        <v>23</v>
      </c>
      <c r="E779" s="8">
        <v>272197</v>
      </c>
      <c r="F779" s="8">
        <v>148281</v>
      </c>
      <c r="G779" s="8">
        <v>5045</v>
      </c>
      <c r="H779" s="8">
        <v>3127</v>
      </c>
      <c r="I779" s="8">
        <v>3810</v>
      </c>
      <c r="J779" s="19">
        <f t="shared" si="18"/>
        <v>4.4019588753733511E-2</v>
      </c>
      <c r="K779" s="9">
        <v>8.08</v>
      </c>
      <c r="L779" s="10">
        <f t="shared" si="17"/>
        <v>4.4019588753733511E-2</v>
      </c>
    </row>
    <row r="780" spans="1:12" ht="14.25" customHeight="1" x14ac:dyDescent="0.3">
      <c r="A780" s="6" t="s">
        <v>804</v>
      </c>
      <c r="B780" s="6" t="s">
        <v>30</v>
      </c>
      <c r="C780" s="7">
        <v>45924</v>
      </c>
      <c r="D780" s="6" t="s">
        <v>17</v>
      </c>
      <c r="E780" s="8">
        <v>13512</v>
      </c>
      <c r="F780" s="8">
        <v>9567</v>
      </c>
      <c r="G780" s="8">
        <v>308</v>
      </c>
      <c r="H780" s="8">
        <v>60</v>
      </c>
      <c r="I780" s="8">
        <v>73</v>
      </c>
      <c r="J780" s="19">
        <f t="shared" si="18"/>
        <v>3.263765541740675E-2</v>
      </c>
      <c r="K780" s="9">
        <v>4.6100000000000003</v>
      </c>
      <c r="L780" s="10">
        <f t="shared" si="17"/>
        <v>3.263765541740675E-2</v>
      </c>
    </row>
    <row r="781" spans="1:12" ht="14.25" customHeight="1" x14ac:dyDescent="0.3">
      <c r="A781" s="6" t="s">
        <v>805</v>
      </c>
      <c r="B781" s="6" t="s">
        <v>22</v>
      </c>
      <c r="C781" s="7">
        <v>45827</v>
      </c>
      <c r="D781" s="6" t="s">
        <v>20</v>
      </c>
      <c r="E781" s="8">
        <v>333804</v>
      </c>
      <c r="F781" s="8">
        <v>200609</v>
      </c>
      <c r="G781" s="8">
        <v>20034</v>
      </c>
      <c r="H781" s="8">
        <v>4299</v>
      </c>
      <c r="I781" s="8">
        <v>9831</v>
      </c>
      <c r="J781" s="19">
        <f t="shared" si="18"/>
        <v>0.10234748535068483</v>
      </c>
      <c r="K781" s="9">
        <v>17.03</v>
      </c>
      <c r="L781" s="10">
        <f t="shared" si="17"/>
        <v>0.10234748535068483</v>
      </c>
    </row>
    <row r="782" spans="1:12" ht="14.25" customHeight="1" x14ac:dyDescent="0.3">
      <c r="A782" s="6" t="s">
        <v>806</v>
      </c>
      <c r="B782" s="6" t="s">
        <v>30</v>
      </c>
      <c r="C782" s="7">
        <v>45705</v>
      </c>
      <c r="D782" s="6" t="s">
        <v>25</v>
      </c>
      <c r="E782" s="8">
        <v>23579</v>
      </c>
      <c r="F782" s="8">
        <v>9773</v>
      </c>
      <c r="G782" s="8">
        <v>449</v>
      </c>
      <c r="H782" s="8">
        <v>138</v>
      </c>
      <c r="I782" s="8">
        <v>134</v>
      </c>
      <c r="J782" s="19">
        <f t="shared" si="18"/>
        <v>3.057805674540905E-2</v>
      </c>
      <c r="K782" s="9">
        <v>7.38</v>
      </c>
      <c r="L782" s="10">
        <f t="shared" si="17"/>
        <v>3.057805674540905E-2</v>
      </c>
    </row>
    <row r="783" spans="1:12" ht="14.25" customHeight="1" x14ac:dyDescent="0.3">
      <c r="A783" s="6" t="s">
        <v>807</v>
      </c>
      <c r="B783" s="6" t="s">
        <v>13</v>
      </c>
      <c r="C783" s="7">
        <v>45445</v>
      </c>
      <c r="D783" s="6" t="s">
        <v>17</v>
      </c>
      <c r="E783" s="8">
        <v>13503</v>
      </c>
      <c r="F783" s="8">
        <v>5399</v>
      </c>
      <c r="G783" s="8">
        <v>264</v>
      </c>
      <c r="H783" s="8">
        <v>61</v>
      </c>
      <c r="I783" s="8">
        <v>84</v>
      </c>
      <c r="J783" s="19">
        <f t="shared" si="18"/>
        <v>3.0289565281789232E-2</v>
      </c>
      <c r="K783" s="9">
        <v>7.58</v>
      </c>
      <c r="L783" s="10">
        <f t="shared" si="17"/>
        <v>3.0289565281789232E-2</v>
      </c>
    </row>
    <row r="784" spans="1:12" ht="14.25" customHeight="1" x14ac:dyDescent="0.3">
      <c r="A784" s="6" t="s">
        <v>808</v>
      </c>
      <c r="B784" s="6" t="s">
        <v>13</v>
      </c>
      <c r="C784" s="7">
        <v>45488</v>
      </c>
      <c r="D784" s="6" t="s">
        <v>25</v>
      </c>
      <c r="E784" s="8">
        <v>16980</v>
      </c>
      <c r="F784" s="8">
        <v>10531</v>
      </c>
      <c r="G784" s="8">
        <v>287</v>
      </c>
      <c r="H784" s="8">
        <v>68</v>
      </c>
      <c r="I784" s="8">
        <v>249</v>
      </c>
      <c r="J784" s="19">
        <f t="shared" si="18"/>
        <v>3.5571260306242636E-2</v>
      </c>
      <c r="K784" s="9">
        <v>5.74</v>
      </c>
      <c r="L784" s="10">
        <f t="shared" si="17"/>
        <v>3.5571260306242636E-2</v>
      </c>
    </row>
    <row r="785" spans="1:12" ht="14.25" customHeight="1" x14ac:dyDescent="0.3">
      <c r="A785" s="6" t="s">
        <v>809</v>
      </c>
      <c r="B785" s="6" t="s">
        <v>13</v>
      </c>
      <c r="C785" s="7">
        <v>45513</v>
      </c>
      <c r="D785" s="6" t="s">
        <v>25</v>
      </c>
      <c r="E785" s="8">
        <v>30937</v>
      </c>
      <c r="F785" s="8">
        <v>15088</v>
      </c>
      <c r="G785" s="8">
        <v>213</v>
      </c>
      <c r="H785" s="8">
        <v>73</v>
      </c>
      <c r="I785" s="8">
        <v>306</v>
      </c>
      <c r="J785" s="19">
        <f t="shared" si="18"/>
        <v>1.9135662798590684E-2</v>
      </c>
      <c r="K785" s="9">
        <v>3.92</v>
      </c>
      <c r="L785" s="10">
        <f t="shared" si="17"/>
        <v>1.9135662798590684E-2</v>
      </c>
    </row>
    <row r="786" spans="1:12" ht="14.25" customHeight="1" x14ac:dyDescent="0.3">
      <c r="A786" s="6" t="s">
        <v>810</v>
      </c>
      <c r="B786" s="6" t="s">
        <v>13</v>
      </c>
      <c r="C786" s="7">
        <v>45958</v>
      </c>
      <c r="D786" s="6" t="s">
        <v>17</v>
      </c>
      <c r="E786" s="8">
        <v>26470</v>
      </c>
      <c r="F786" s="8">
        <v>14840</v>
      </c>
      <c r="G786" s="8">
        <v>188</v>
      </c>
      <c r="H786" s="8">
        <v>83</v>
      </c>
      <c r="I786" s="8">
        <v>357</v>
      </c>
      <c r="J786" s="19">
        <f t="shared" si="18"/>
        <v>2.3724971666037022E-2</v>
      </c>
      <c r="K786" s="9">
        <v>4.2300000000000004</v>
      </c>
      <c r="L786" s="10">
        <f t="shared" si="17"/>
        <v>2.3724971666037022E-2</v>
      </c>
    </row>
    <row r="787" spans="1:12" ht="14.25" customHeight="1" x14ac:dyDescent="0.3">
      <c r="A787" s="6" t="s">
        <v>811</v>
      </c>
      <c r="B787" s="6" t="s">
        <v>22</v>
      </c>
      <c r="C787" s="7">
        <v>46007</v>
      </c>
      <c r="D787" s="6" t="s">
        <v>23</v>
      </c>
      <c r="E787" s="8">
        <v>108168</v>
      </c>
      <c r="F787" s="8">
        <v>45234</v>
      </c>
      <c r="G787" s="8">
        <v>3836</v>
      </c>
      <c r="H787" s="8">
        <v>1170</v>
      </c>
      <c r="I787" s="8">
        <v>1513</v>
      </c>
      <c r="J787" s="19">
        <f t="shared" si="18"/>
        <v>6.0267361881517642E-2</v>
      </c>
      <c r="K787" s="9">
        <v>14.41</v>
      </c>
      <c r="L787" s="10">
        <f t="shared" si="17"/>
        <v>6.0267361881517642E-2</v>
      </c>
    </row>
    <row r="788" spans="1:12" ht="14.25" customHeight="1" x14ac:dyDescent="0.3">
      <c r="A788" s="6" t="s">
        <v>812</v>
      </c>
      <c r="B788" s="6" t="s">
        <v>13</v>
      </c>
      <c r="C788" s="7">
        <v>45312</v>
      </c>
      <c r="D788" s="6" t="s">
        <v>25</v>
      </c>
      <c r="E788" s="8">
        <v>19486</v>
      </c>
      <c r="F788" s="8">
        <v>9257</v>
      </c>
      <c r="G788" s="8">
        <v>230</v>
      </c>
      <c r="H788" s="8">
        <v>72</v>
      </c>
      <c r="I788" s="8">
        <v>114</v>
      </c>
      <c r="J788" s="19">
        <f t="shared" si="18"/>
        <v>2.1348660576824385E-2</v>
      </c>
      <c r="K788" s="9">
        <v>4.49</v>
      </c>
      <c r="L788" s="10">
        <f t="shared" si="17"/>
        <v>2.1348660576824385E-2</v>
      </c>
    </row>
    <row r="789" spans="1:12" ht="14.25" customHeight="1" x14ac:dyDescent="0.3">
      <c r="A789" s="6" t="s">
        <v>813</v>
      </c>
      <c r="B789" s="6" t="s">
        <v>22</v>
      </c>
      <c r="C789" s="7">
        <v>45368</v>
      </c>
      <c r="D789" s="6" t="s">
        <v>20</v>
      </c>
      <c r="E789" s="8">
        <v>327325</v>
      </c>
      <c r="F789" s="8">
        <v>185924</v>
      </c>
      <c r="G789" s="8">
        <v>16944</v>
      </c>
      <c r="H789" s="8">
        <v>1712</v>
      </c>
      <c r="I789" s="8">
        <v>8146</v>
      </c>
      <c r="J789" s="19">
        <f t="shared" si="18"/>
        <v>8.1881921637516231E-2</v>
      </c>
      <c r="K789" s="9">
        <v>14.42</v>
      </c>
      <c r="L789" s="10">
        <f t="shared" si="17"/>
        <v>8.1881921637516231E-2</v>
      </c>
    </row>
    <row r="790" spans="1:12" ht="14.25" customHeight="1" x14ac:dyDescent="0.3">
      <c r="A790" s="6" t="s">
        <v>814</v>
      </c>
      <c r="B790" s="6" t="s">
        <v>22</v>
      </c>
      <c r="C790" s="7">
        <v>45650</v>
      </c>
      <c r="D790" s="6" t="s">
        <v>20</v>
      </c>
      <c r="E790" s="8">
        <v>209403</v>
      </c>
      <c r="F790" s="8">
        <v>116276</v>
      </c>
      <c r="G790" s="8">
        <v>10312</v>
      </c>
      <c r="H790" s="8">
        <v>2772</v>
      </c>
      <c r="I790" s="8">
        <v>3701</v>
      </c>
      <c r="J790" s="19">
        <f t="shared" si="18"/>
        <v>8.0156444750075218E-2</v>
      </c>
      <c r="K790" s="9">
        <v>14.44</v>
      </c>
      <c r="L790" s="10">
        <f t="shared" si="17"/>
        <v>8.0156444750075218E-2</v>
      </c>
    </row>
    <row r="791" spans="1:12" ht="14.25" customHeight="1" x14ac:dyDescent="0.3">
      <c r="A791" s="6" t="s">
        <v>815</v>
      </c>
      <c r="B791" s="6" t="s">
        <v>16</v>
      </c>
      <c r="C791" s="7">
        <v>45812</v>
      </c>
      <c r="D791" s="6" t="s">
        <v>25</v>
      </c>
      <c r="E791" s="8">
        <v>43665</v>
      </c>
      <c r="F791" s="8">
        <v>33548</v>
      </c>
      <c r="G791" s="8">
        <v>1507</v>
      </c>
      <c r="H791" s="8">
        <v>85</v>
      </c>
      <c r="I791" s="8">
        <v>318</v>
      </c>
      <c r="J791" s="19">
        <f t="shared" si="18"/>
        <v>4.3742127562120689E-2</v>
      </c>
      <c r="K791" s="9">
        <v>5.69</v>
      </c>
      <c r="L791" s="10">
        <f t="shared" si="17"/>
        <v>4.3742127562120689E-2</v>
      </c>
    </row>
    <row r="792" spans="1:12" ht="14.25" customHeight="1" x14ac:dyDescent="0.3">
      <c r="A792" s="6" t="s">
        <v>816</v>
      </c>
      <c r="B792" s="6" t="s">
        <v>13</v>
      </c>
      <c r="C792" s="7">
        <v>45353</v>
      </c>
      <c r="D792" s="6" t="s">
        <v>25</v>
      </c>
      <c r="E792" s="8">
        <v>44840</v>
      </c>
      <c r="F792" s="8">
        <v>30742</v>
      </c>
      <c r="G792" s="8">
        <v>948</v>
      </c>
      <c r="H792" s="8">
        <v>433</v>
      </c>
      <c r="I792" s="8">
        <v>515</v>
      </c>
      <c r="J792" s="19">
        <f t="shared" si="18"/>
        <v>4.2283675289919713E-2</v>
      </c>
      <c r="K792" s="9">
        <v>6.17</v>
      </c>
      <c r="L792" s="10">
        <f t="shared" si="17"/>
        <v>4.2283675289919713E-2</v>
      </c>
    </row>
    <row r="793" spans="1:12" ht="14.25" customHeight="1" x14ac:dyDescent="0.3">
      <c r="A793" s="6" t="s">
        <v>817</v>
      </c>
      <c r="B793" s="6" t="s">
        <v>19</v>
      </c>
      <c r="C793" s="7">
        <v>45612</v>
      </c>
      <c r="D793" s="6" t="s">
        <v>20</v>
      </c>
      <c r="E793" s="8">
        <v>28891</v>
      </c>
      <c r="F793" s="8">
        <v>24605</v>
      </c>
      <c r="G793" s="8">
        <v>695</v>
      </c>
      <c r="H793" s="8">
        <v>101</v>
      </c>
      <c r="I793" s="8">
        <v>324</v>
      </c>
      <c r="J793" s="19">
        <f t="shared" si="18"/>
        <v>3.8766397840157833E-2</v>
      </c>
      <c r="K793" s="9">
        <v>4.55</v>
      </c>
      <c r="L793" s="10">
        <f t="shared" si="17"/>
        <v>3.8766397840157833E-2</v>
      </c>
    </row>
    <row r="794" spans="1:12" ht="14.25" customHeight="1" x14ac:dyDescent="0.3">
      <c r="A794" s="6" t="s">
        <v>818</v>
      </c>
      <c r="B794" s="6" t="s">
        <v>30</v>
      </c>
      <c r="C794" s="7">
        <v>45350</v>
      </c>
      <c r="D794" s="6" t="s">
        <v>14</v>
      </c>
      <c r="E794" s="8">
        <v>19665</v>
      </c>
      <c r="F794" s="8">
        <v>13473</v>
      </c>
      <c r="G794" s="8">
        <v>511</v>
      </c>
      <c r="H794" s="8">
        <v>317</v>
      </c>
      <c r="I794" s="8">
        <v>157</v>
      </c>
      <c r="J794" s="19">
        <f t="shared" si="18"/>
        <v>5.008899059242309E-2</v>
      </c>
      <c r="K794" s="9">
        <v>7.31</v>
      </c>
      <c r="L794" s="10">
        <f t="shared" si="17"/>
        <v>5.008899059242309E-2</v>
      </c>
    </row>
    <row r="795" spans="1:12" ht="14.25" customHeight="1" x14ac:dyDescent="0.3">
      <c r="A795" s="6" t="s">
        <v>819</v>
      </c>
      <c r="B795" s="6" t="s">
        <v>22</v>
      </c>
      <c r="C795" s="7">
        <v>45940</v>
      </c>
      <c r="D795" s="6" t="s">
        <v>23</v>
      </c>
      <c r="E795" s="8">
        <v>309901</v>
      </c>
      <c r="F795" s="8">
        <v>126021</v>
      </c>
      <c r="G795" s="8">
        <v>6844</v>
      </c>
      <c r="H795" s="8">
        <v>677</v>
      </c>
      <c r="I795" s="8">
        <v>4597</v>
      </c>
      <c r="J795" s="19">
        <f t="shared" si="18"/>
        <v>3.9102810252306379E-2</v>
      </c>
      <c r="K795" s="9">
        <v>9.6199999999999992</v>
      </c>
      <c r="L795" s="10">
        <f t="shared" si="17"/>
        <v>3.9102810252306379E-2</v>
      </c>
    </row>
    <row r="796" spans="1:12" ht="14.25" customHeight="1" x14ac:dyDescent="0.3">
      <c r="A796" s="6" t="s">
        <v>820</v>
      </c>
      <c r="B796" s="6" t="s">
        <v>16</v>
      </c>
      <c r="C796" s="7">
        <v>45869</v>
      </c>
      <c r="D796" s="6" t="s">
        <v>23</v>
      </c>
      <c r="E796" s="8">
        <v>78507</v>
      </c>
      <c r="F796" s="8">
        <v>44593</v>
      </c>
      <c r="G796" s="8">
        <v>3309</v>
      </c>
      <c r="H796" s="8">
        <v>647</v>
      </c>
      <c r="I796" s="8">
        <v>259</v>
      </c>
      <c r="J796" s="19">
        <f t="shared" si="18"/>
        <v>5.3689479918988113E-2</v>
      </c>
      <c r="K796" s="9">
        <v>9.4499999999999993</v>
      </c>
      <c r="L796" s="10">
        <f t="shared" si="17"/>
        <v>5.3689479918988113E-2</v>
      </c>
    </row>
    <row r="797" spans="1:12" ht="14.25" customHeight="1" x14ac:dyDescent="0.3">
      <c r="A797" s="6" t="s">
        <v>821</v>
      </c>
      <c r="B797" s="6" t="s">
        <v>19</v>
      </c>
      <c r="C797" s="7">
        <v>45662</v>
      </c>
      <c r="D797" s="6" t="s">
        <v>14</v>
      </c>
      <c r="E797" s="8">
        <v>12523</v>
      </c>
      <c r="F797" s="8">
        <v>10237</v>
      </c>
      <c r="G797" s="8">
        <v>168</v>
      </c>
      <c r="H797" s="8">
        <v>77</v>
      </c>
      <c r="I797" s="8">
        <v>131</v>
      </c>
      <c r="J797" s="19">
        <f t="shared" si="18"/>
        <v>3.0024754451808671E-2</v>
      </c>
      <c r="K797" s="9">
        <v>3.67</v>
      </c>
      <c r="L797" s="10">
        <f t="shared" si="17"/>
        <v>3.0024754451808671E-2</v>
      </c>
    </row>
    <row r="798" spans="1:12" ht="14.25" customHeight="1" x14ac:dyDescent="0.3">
      <c r="A798" s="6" t="s">
        <v>822</v>
      </c>
      <c r="B798" s="6" t="s">
        <v>16</v>
      </c>
      <c r="C798" s="7">
        <v>45783</v>
      </c>
      <c r="D798" s="6" t="s">
        <v>23</v>
      </c>
      <c r="E798" s="8">
        <v>16546</v>
      </c>
      <c r="F798" s="8">
        <v>10784</v>
      </c>
      <c r="G798" s="8">
        <v>795</v>
      </c>
      <c r="H798" s="8">
        <v>89</v>
      </c>
      <c r="I798" s="8">
        <v>64</v>
      </c>
      <c r="J798" s="19">
        <f t="shared" si="18"/>
        <v>5.7294814456666267E-2</v>
      </c>
      <c r="K798" s="9">
        <v>8.7899999999999991</v>
      </c>
      <c r="L798" s="10">
        <f t="shared" si="17"/>
        <v>5.7294814456666267E-2</v>
      </c>
    </row>
    <row r="799" spans="1:12" ht="14.25" customHeight="1" x14ac:dyDescent="0.3">
      <c r="A799" s="6" t="s">
        <v>823</v>
      </c>
      <c r="B799" s="6" t="s">
        <v>19</v>
      </c>
      <c r="C799" s="7">
        <v>45778</v>
      </c>
      <c r="D799" s="6" t="s">
        <v>14</v>
      </c>
      <c r="E799" s="8">
        <v>22672</v>
      </c>
      <c r="F799" s="8">
        <v>13697</v>
      </c>
      <c r="G799" s="8">
        <v>253</v>
      </c>
      <c r="H799" s="8">
        <v>45</v>
      </c>
      <c r="I799" s="8">
        <v>150</v>
      </c>
      <c r="J799" s="19">
        <f t="shared" si="18"/>
        <v>1.9760056457304165E-2</v>
      </c>
      <c r="K799" s="9">
        <v>3.27</v>
      </c>
      <c r="L799" s="10">
        <f t="shared" si="17"/>
        <v>1.9760056457304165E-2</v>
      </c>
    </row>
    <row r="800" spans="1:12" ht="14.25" customHeight="1" x14ac:dyDescent="0.3">
      <c r="A800" s="6" t="s">
        <v>824</v>
      </c>
      <c r="B800" s="6" t="s">
        <v>16</v>
      </c>
      <c r="C800" s="7">
        <v>45580</v>
      </c>
      <c r="D800" s="6" t="s">
        <v>25</v>
      </c>
      <c r="E800" s="8">
        <v>72621</v>
      </c>
      <c r="F800" s="8">
        <v>56147</v>
      </c>
      <c r="G800" s="8">
        <v>4186</v>
      </c>
      <c r="H800" s="8">
        <v>283</v>
      </c>
      <c r="I800" s="8">
        <v>178</v>
      </c>
      <c r="J800" s="19">
        <f t="shared" si="18"/>
        <v>6.398975502953691E-2</v>
      </c>
      <c r="K800" s="9">
        <v>8.2799999999999994</v>
      </c>
      <c r="L800" s="10">
        <f t="shared" si="17"/>
        <v>6.398975502953691E-2</v>
      </c>
    </row>
    <row r="801" spans="1:12" ht="14.25" customHeight="1" x14ac:dyDescent="0.3">
      <c r="A801" s="6" t="s">
        <v>825</v>
      </c>
      <c r="B801" s="6" t="s">
        <v>19</v>
      </c>
      <c r="C801" s="7">
        <v>45511</v>
      </c>
      <c r="D801" s="6" t="s">
        <v>17</v>
      </c>
      <c r="E801" s="8">
        <v>16084</v>
      </c>
      <c r="F801" s="8">
        <v>13865</v>
      </c>
      <c r="G801" s="8">
        <v>227</v>
      </c>
      <c r="H801" s="8">
        <v>107</v>
      </c>
      <c r="I801" s="8">
        <v>245</v>
      </c>
      <c r="J801" s="19">
        <f t="shared" si="18"/>
        <v>3.5998507833872172E-2</v>
      </c>
      <c r="K801" s="9">
        <v>4.18</v>
      </c>
      <c r="L801" s="10">
        <f t="shared" si="17"/>
        <v>3.5998507833872172E-2</v>
      </c>
    </row>
    <row r="802" spans="1:12" ht="14.25" customHeight="1" x14ac:dyDescent="0.3">
      <c r="A802" s="6" t="s">
        <v>826</v>
      </c>
      <c r="B802" s="6" t="s">
        <v>16</v>
      </c>
      <c r="C802" s="7">
        <v>45373</v>
      </c>
      <c r="D802" s="6" t="s">
        <v>23</v>
      </c>
      <c r="E802" s="8">
        <v>8929</v>
      </c>
      <c r="F802" s="8">
        <v>7013</v>
      </c>
      <c r="G802" s="8">
        <v>541</v>
      </c>
      <c r="H802" s="8">
        <v>94</v>
      </c>
      <c r="I802" s="8">
        <v>47</v>
      </c>
      <c r="J802" s="19">
        <f t="shared" si="18"/>
        <v>7.6380333743980289E-2</v>
      </c>
      <c r="K802" s="9">
        <v>9.7200000000000006</v>
      </c>
      <c r="L802" s="10">
        <f t="shared" si="17"/>
        <v>7.6380333743980289E-2</v>
      </c>
    </row>
    <row r="803" spans="1:12" ht="14.25" customHeight="1" x14ac:dyDescent="0.3">
      <c r="A803" s="6" t="s">
        <v>827</v>
      </c>
      <c r="B803" s="6" t="s">
        <v>13</v>
      </c>
      <c r="C803" s="7">
        <v>45780</v>
      </c>
      <c r="D803" s="6" t="s">
        <v>14</v>
      </c>
      <c r="E803" s="8">
        <v>15199</v>
      </c>
      <c r="F803" s="8">
        <v>8810</v>
      </c>
      <c r="G803" s="8">
        <v>264</v>
      </c>
      <c r="H803" s="8">
        <v>29</v>
      </c>
      <c r="I803" s="8">
        <v>151</v>
      </c>
      <c r="J803" s="19">
        <f t="shared" si="18"/>
        <v>2.9212448187380748E-2</v>
      </c>
      <c r="K803" s="9">
        <v>5.04</v>
      </c>
      <c r="L803" s="10">
        <f t="shared" si="17"/>
        <v>2.9212448187380748E-2</v>
      </c>
    </row>
    <row r="804" spans="1:12" ht="14.25" customHeight="1" x14ac:dyDescent="0.3">
      <c r="A804" s="6" t="s">
        <v>828</v>
      </c>
      <c r="B804" s="6" t="s">
        <v>22</v>
      </c>
      <c r="C804" s="7">
        <v>45643</v>
      </c>
      <c r="D804" s="6" t="s">
        <v>23</v>
      </c>
      <c r="E804" s="8">
        <v>31608</v>
      </c>
      <c r="F804" s="8">
        <v>10540</v>
      </c>
      <c r="G804" s="8">
        <v>499</v>
      </c>
      <c r="H804" s="8">
        <v>63</v>
      </c>
      <c r="I804" s="8">
        <v>116</v>
      </c>
      <c r="J804" s="19">
        <f t="shared" si="18"/>
        <v>2.1450265755504936E-2</v>
      </c>
      <c r="K804" s="9">
        <v>6.43</v>
      </c>
      <c r="L804" s="10">
        <f t="shared" si="17"/>
        <v>2.1450265755504936E-2</v>
      </c>
    </row>
    <row r="805" spans="1:12" ht="14.25" customHeight="1" x14ac:dyDescent="0.3">
      <c r="A805" s="6" t="s">
        <v>829</v>
      </c>
      <c r="B805" s="6" t="s">
        <v>19</v>
      </c>
      <c r="C805" s="7">
        <v>45657</v>
      </c>
      <c r="D805" s="6" t="s">
        <v>17</v>
      </c>
      <c r="E805" s="8">
        <v>18381</v>
      </c>
      <c r="F805" s="8">
        <v>12860</v>
      </c>
      <c r="G805" s="8">
        <v>251</v>
      </c>
      <c r="H805" s="8">
        <v>16</v>
      </c>
      <c r="I805" s="8">
        <v>137</v>
      </c>
      <c r="J805" s="19">
        <f t="shared" si="18"/>
        <v>2.1979217670420544E-2</v>
      </c>
      <c r="K805" s="9">
        <v>3.14</v>
      </c>
      <c r="L805" s="10">
        <f t="shared" si="17"/>
        <v>2.1979217670420544E-2</v>
      </c>
    </row>
    <row r="806" spans="1:12" ht="14.25" customHeight="1" x14ac:dyDescent="0.3">
      <c r="A806" s="6" t="s">
        <v>830</v>
      </c>
      <c r="B806" s="6" t="s">
        <v>16</v>
      </c>
      <c r="C806" s="7">
        <v>45650</v>
      </c>
      <c r="D806" s="6" t="s">
        <v>23</v>
      </c>
      <c r="E806" s="8">
        <v>8019</v>
      </c>
      <c r="F806" s="8">
        <v>4735</v>
      </c>
      <c r="G806" s="8">
        <v>360</v>
      </c>
      <c r="H806" s="8">
        <v>13</v>
      </c>
      <c r="I806" s="8">
        <v>22</v>
      </c>
      <c r="J806" s="19">
        <f t="shared" si="18"/>
        <v>4.9258012220975186E-2</v>
      </c>
      <c r="K806" s="9">
        <v>8.34</v>
      </c>
      <c r="L806" s="10">
        <f t="shared" si="17"/>
        <v>4.9258012220975186E-2</v>
      </c>
    </row>
    <row r="807" spans="1:12" ht="14.25" customHeight="1" x14ac:dyDescent="0.3">
      <c r="A807" s="6" t="s">
        <v>831</v>
      </c>
      <c r="B807" s="6" t="s">
        <v>13</v>
      </c>
      <c r="C807" s="7">
        <v>45777</v>
      </c>
      <c r="D807" s="6" t="s">
        <v>20</v>
      </c>
      <c r="E807" s="8">
        <v>85320</v>
      </c>
      <c r="F807" s="8">
        <v>51527</v>
      </c>
      <c r="G807" s="8">
        <v>2350</v>
      </c>
      <c r="H807" s="8">
        <v>759</v>
      </c>
      <c r="I807" s="8">
        <v>509</v>
      </c>
      <c r="J807" s="19">
        <f t="shared" si="18"/>
        <v>4.2405063291139238E-2</v>
      </c>
      <c r="K807" s="9">
        <v>7.02</v>
      </c>
      <c r="L807" s="10">
        <f t="shared" si="17"/>
        <v>4.2405063291139238E-2</v>
      </c>
    </row>
    <row r="808" spans="1:12" ht="14.25" customHeight="1" x14ac:dyDescent="0.3">
      <c r="A808" s="6" t="s">
        <v>832</v>
      </c>
      <c r="B808" s="6" t="s">
        <v>16</v>
      </c>
      <c r="C808" s="7">
        <v>45476</v>
      </c>
      <c r="D808" s="6" t="s">
        <v>25</v>
      </c>
      <c r="E808" s="8">
        <v>38897</v>
      </c>
      <c r="F808" s="8">
        <v>30186</v>
      </c>
      <c r="G808" s="8">
        <v>786</v>
      </c>
      <c r="H808" s="8">
        <v>91</v>
      </c>
      <c r="I808" s="8">
        <v>102</v>
      </c>
      <c r="J808" s="19">
        <f t="shared" si="18"/>
        <v>2.5169036172455458E-2</v>
      </c>
      <c r="K808" s="9">
        <v>3.24</v>
      </c>
      <c r="L808" s="10">
        <f t="shared" si="17"/>
        <v>2.5169036172455458E-2</v>
      </c>
    </row>
    <row r="809" spans="1:12" ht="14.25" customHeight="1" x14ac:dyDescent="0.3">
      <c r="A809" s="6" t="s">
        <v>833</v>
      </c>
      <c r="B809" s="6" t="s">
        <v>13</v>
      </c>
      <c r="C809" s="7">
        <v>45766</v>
      </c>
      <c r="D809" s="6" t="s">
        <v>25</v>
      </c>
      <c r="E809" s="8">
        <v>34622</v>
      </c>
      <c r="F809" s="8">
        <v>15612</v>
      </c>
      <c r="G809" s="8">
        <v>653</v>
      </c>
      <c r="H809" s="8">
        <v>91</v>
      </c>
      <c r="I809" s="8">
        <v>213</v>
      </c>
      <c r="J809" s="19">
        <f t="shared" si="18"/>
        <v>2.7641384091040378E-2</v>
      </c>
      <c r="K809" s="9">
        <v>6.13</v>
      </c>
      <c r="L809" s="10">
        <f t="shared" si="17"/>
        <v>2.7641384091040378E-2</v>
      </c>
    </row>
    <row r="810" spans="1:12" ht="14.25" customHeight="1" x14ac:dyDescent="0.3">
      <c r="A810" s="6" t="s">
        <v>834</v>
      </c>
      <c r="B810" s="6" t="s">
        <v>13</v>
      </c>
      <c r="C810" s="7">
        <v>45838</v>
      </c>
      <c r="D810" s="6" t="s">
        <v>14</v>
      </c>
      <c r="E810" s="8">
        <v>896</v>
      </c>
      <c r="F810" s="8">
        <v>466</v>
      </c>
      <c r="G810" s="8">
        <v>18</v>
      </c>
      <c r="H810" s="8">
        <v>3</v>
      </c>
      <c r="I810" s="8">
        <v>10</v>
      </c>
      <c r="J810" s="19">
        <f t="shared" si="18"/>
        <v>3.4598214285714288E-2</v>
      </c>
      <c r="K810" s="9">
        <v>6.65</v>
      </c>
      <c r="L810" s="10">
        <f t="shared" si="17"/>
        <v>3.4598214285714288E-2</v>
      </c>
    </row>
    <row r="811" spans="1:12" ht="14.25" customHeight="1" x14ac:dyDescent="0.3">
      <c r="A811" s="6" t="s">
        <v>835</v>
      </c>
      <c r="B811" s="6" t="s">
        <v>22</v>
      </c>
      <c r="C811" s="7">
        <v>45796</v>
      </c>
      <c r="D811" s="6" t="s">
        <v>23</v>
      </c>
      <c r="E811" s="8">
        <v>267198</v>
      </c>
      <c r="F811" s="8">
        <v>130450</v>
      </c>
      <c r="G811" s="8">
        <v>15382</v>
      </c>
      <c r="H811" s="8">
        <v>954</v>
      </c>
      <c r="I811" s="8">
        <v>2977</v>
      </c>
      <c r="J811" s="19">
        <f t="shared" si="18"/>
        <v>7.2279732632729285E-2</v>
      </c>
      <c r="K811" s="9">
        <v>14.8</v>
      </c>
      <c r="L811" s="10">
        <f t="shared" si="17"/>
        <v>7.2279732632729285E-2</v>
      </c>
    </row>
    <row r="812" spans="1:12" ht="14.25" customHeight="1" x14ac:dyDescent="0.3">
      <c r="A812" s="6" t="s">
        <v>836</v>
      </c>
      <c r="B812" s="6" t="s">
        <v>13</v>
      </c>
      <c r="C812" s="7">
        <v>45795</v>
      </c>
      <c r="D812" s="6" t="s">
        <v>25</v>
      </c>
      <c r="E812" s="8">
        <v>5004</v>
      </c>
      <c r="F812" s="8">
        <v>2876</v>
      </c>
      <c r="G812" s="8">
        <v>33</v>
      </c>
      <c r="H812" s="8">
        <v>9</v>
      </c>
      <c r="I812" s="8">
        <v>36</v>
      </c>
      <c r="J812" s="19">
        <f t="shared" si="18"/>
        <v>1.5587529976019185E-2</v>
      </c>
      <c r="K812" s="9">
        <v>2.71</v>
      </c>
      <c r="L812" s="10">
        <f t="shared" si="17"/>
        <v>1.5587529976019185E-2</v>
      </c>
    </row>
    <row r="813" spans="1:12" ht="14.25" customHeight="1" x14ac:dyDescent="0.3">
      <c r="A813" s="6" t="s">
        <v>837</v>
      </c>
      <c r="B813" s="6" t="s">
        <v>16</v>
      </c>
      <c r="C813" s="7">
        <v>46009</v>
      </c>
      <c r="D813" s="6" t="s">
        <v>23</v>
      </c>
      <c r="E813" s="8">
        <v>92027</v>
      </c>
      <c r="F813" s="8">
        <v>71596</v>
      </c>
      <c r="G813" s="8">
        <v>1879</v>
      </c>
      <c r="H813" s="8">
        <v>757</v>
      </c>
      <c r="I813" s="8">
        <v>301</v>
      </c>
      <c r="J813" s="19">
        <f t="shared" si="18"/>
        <v>3.191454681778174E-2</v>
      </c>
      <c r="K813" s="9">
        <v>4.0999999999999996</v>
      </c>
      <c r="L813" s="10">
        <f t="shared" si="17"/>
        <v>3.191454681778174E-2</v>
      </c>
    </row>
    <row r="814" spans="1:12" ht="14.25" customHeight="1" x14ac:dyDescent="0.3">
      <c r="A814" s="6" t="s">
        <v>838</v>
      </c>
      <c r="B814" s="6" t="s">
        <v>30</v>
      </c>
      <c r="C814" s="7">
        <v>45985</v>
      </c>
      <c r="D814" s="6" t="s">
        <v>20</v>
      </c>
      <c r="E814" s="8">
        <v>18602</v>
      </c>
      <c r="F814" s="8">
        <v>7631</v>
      </c>
      <c r="G814" s="8">
        <v>410</v>
      </c>
      <c r="H814" s="8">
        <v>99</v>
      </c>
      <c r="I814" s="8">
        <v>44</v>
      </c>
      <c r="J814" s="19">
        <f t="shared" si="18"/>
        <v>2.972798623803892E-2</v>
      </c>
      <c r="K814" s="9">
        <v>7.25</v>
      </c>
      <c r="L814" s="10">
        <f t="shared" si="17"/>
        <v>2.972798623803892E-2</v>
      </c>
    </row>
    <row r="815" spans="1:12" ht="14.25" customHeight="1" x14ac:dyDescent="0.3">
      <c r="A815" s="6" t="s">
        <v>839</v>
      </c>
      <c r="B815" s="6" t="s">
        <v>13</v>
      </c>
      <c r="C815" s="7">
        <v>45694</v>
      </c>
      <c r="D815" s="6" t="s">
        <v>20</v>
      </c>
      <c r="E815" s="8">
        <v>27727</v>
      </c>
      <c r="F815" s="8">
        <v>18430</v>
      </c>
      <c r="G815" s="8">
        <v>250</v>
      </c>
      <c r="H815" s="8">
        <v>141</v>
      </c>
      <c r="I815" s="8">
        <v>192</v>
      </c>
      <c r="J815" s="19">
        <f t="shared" si="18"/>
        <v>2.1026436325603203E-2</v>
      </c>
      <c r="K815" s="9">
        <v>3.16</v>
      </c>
      <c r="L815" s="10">
        <f t="shared" si="17"/>
        <v>2.1026436325603203E-2</v>
      </c>
    </row>
    <row r="816" spans="1:12" ht="14.25" customHeight="1" x14ac:dyDescent="0.3">
      <c r="A816" s="6" t="s">
        <v>840</v>
      </c>
      <c r="B816" s="6" t="s">
        <v>16</v>
      </c>
      <c r="C816" s="7">
        <v>45913</v>
      </c>
      <c r="D816" s="6" t="s">
        <v>20</v>
      </c>
      <c r="E816" s="8">
        <v>15247</v>
      </c>
      <c r="F816" s="8">
        <v>8056</v>
      </c>
      <c r="G816" s="8">
        <v>540</v>
      </c>
      <c r="H816" s="8">
        <v>26</v>
      </c>
      <c r="I816" s="8">
        <v>48</v>
      </c>
      <c r="J816" s="19">
        <f t="shared" si="18"/>
        <v>4.0270217091886926E-2</v>
      </c>
      <c r="K816" s="9">
        <v>7.62</v>
      </c>
      <c r="L816" s="10">
        <f t="shared" si="17"/>
        <v>4.0270217091886926E-2</v>
      </c>
    </row>
    <row r="817" spans="1:12" ht="14.25" customHeight="1" x14ac:dyDescent="0.3">
      <c r="A817" s="6" t="s">
        <v>841</v>
      </c>
      <c r="B817" s="6" t="s">
        <v>22</v>
      </c>
      <c r="C817" s="7">
        <v>45894</v>
      </c>
      <c r="D817" s="6" t="s">
        <v>20</v>
      </c>
      <c r="E817" s="8">
        <v>89894</v>
      </c>
      <c r="F817" s="8">
        <v>59291</v>
      </c>
      <c r="G817" s="8">
        <v>1939</v>
      </c>
      <c r="H817" s="8">
        <v>1048</v>
      </c>
      <c r="I817" s="8">
        <v>2205</v>
      </c>
      <c r="J817" s="19">
        <f t="shared" si="18"/>
        <v>5.7756913698355838E-2</v>
      </c>
      <c r="K817" s="9">
        <v>8.76</v>
      </c>
      <c r="L817" s="10">
        <f t="shared" si="17"/>
        <v>5.7756913698355838E-2</v>
      </c>
    </row>
    <row r="818" spans="1:12" ht="14.25" customHeight="1" x14ac:dyDescent="0.3">
      <c r="A818" s="6" t="s">
        <v>842</v>
      </c>
      <c r="B818" s="6" t="s">
        <v>16</v>
      </c>
      <c r="C818" s="7">
        <v>45875</v>
      </c>
      <c r="D818" s="6" t="s">
        <v>17</v>
      </c>
      <c r="E818" s="8">
        <v>27153</v>
      </c>
      <c r="F818" s="8">
        <v>19875</v>
      </c>
      <c r="G818" s="8">
        <v>1530</v>
      </c>
      <c r="H818" s="8">
        <v>162</v>
      </c>
      <c r="I818" s="8">
        <v>74</v>
      </c>
      <c r="J818" s="19">
        <f t="shared" si="18"/>
        <v>6.5038853901962956E-2</v>
      </c>
      <c r="K818" s="9">
        <v>8.89</v>
      </c>
      <c r="L818" s="10">
        <f t="shared" si="17"/>
        <v>6.5038853901962956E-2</v>
      </c>
    </row>
    <row r="819" spans="1:12" ht="14.25" customHeight="1" x14ac:dyDescent="0.3">
      <c r="A819" s="6" t="s">
        <v>843</v>
      </c>
      <c r="B819" s="6" t="s">
        <v>30</v>
      </c>
      <c r="C819" s="7">
        <v>45318</v>
      </c>
      <c r="D819" s="6" t="s">
        <v>20</v>
      </c>
      <c r="E819" s="8">
        <v>4784</v>
      </c>
      <c r="F819" s="8">
        <v>2037</v>
      </c>
      <c r="G819" s="8">
        <v>35</v>
      </c>
      <c r="H819" s="8">
        <v>15</v>
      </c>
      <c r="I819" s="8">
        <v>25</v>
      </c>
      <c r="J819" s="19">
        <f t="shared" si="18"/>
        <v>1.5677257525083612E-2</v>
      </c>
      <c r="K819" s="9">
        <v>3.68</v>
      </c>
      <c r="L819" s="10">
        <f t="shared" si="17"/>
        <v>1.5677257525083612E-2</v>
      </c>
    </row>
    <row r="820" spans="1:12" ht="14.25" customHeight="1" x14ac:dyDescent="0.3">
      <c r="A820" s="6" t="s">
        <v>844</v>
      </c>
      <c r="B820" s="6" t="s">
        <v>19</v>
      </c>
      <c r="C820" s="7">
        <v>45969</v>
      </c>
      <c r="D820" s="6" t="s">
        <v>20</v>
      </c>
      <c r="E820" s="8">
        <v>13034</v>
      </c>
      <c r="F820" s="8">
        <v>9588</v>
      </c>
      <c r="G820" s="8">
        <v>212</v>
      </c>
      <c r="H820" s="8">
        <v>20</v>
      </c>
      <c r="I820" s="8">
        <v>99</v>
      </c>
      <c r="J820" s="19">
        <f t="shared" si="18"/>
        <v>2.5395120454196715E-2</v>
      </c>
      <c r="K820" s="9">
        <v>3.45</v>
      </c>
      <c r="L820" s="10">
        <f t="shared" si="17"/>
        <v>2.5395120454196715E-2</v>
      </c>
    </row>
    <row r="821" spans="1:12" ht="14.25" customHeight="1" x14ac:dyDescent="0.3">
      <c r="A821" s="6" t="s">
        <v>845</v>
      </c>
      <c r="B821" s="6" t="s">
        <v>19</v>
      </c>
      <c r="C821" s="7">
        <v>45795</v>
      </c>
      <c r="D821" s="6" t="s">
        <v>14</v>
      </c>
      <c r="E821" s="8">
        <v>18057</v>
      </c>
      <c r="F821" s="8">
        <v>13827</v>
      </c>
      <c r="G821" s="8">
        <v>299</v>
      </c>
      <c r="H821" s="8">
        <v>64</v>
      </c>
      <c r="I821" s="8">
        <v>151</v>
      </c>
      <c r="J821" s="19">
        <f t="shared" si="18"/>
        <v>2.8465415074486349E-2</v>
      </c>
      <c r="K821" s="9">
        <v>3.72</v>
      </c>
      <c r="L821" s="10">
        <f t="shared" si="17"/>
        <v>2.8465415074486349E-2</v>
      </c>
    </row>
    <row r="822" spans="1:12" ht="14.25" customHeight="1" x14ac:dyDescent="0.3">
      <c r="A822" s="6" t="s">
        <v>846</v>
      </c>
      <c r="B822" s="6" t="s">
        <v>22</v>
      </c>
      <c r="C822" s="7">
        <v>45562</v>
      </c>
      <c r="D822" s="6" t="s">
        <v>23</v>
      </c>
      <c r="E822" s="8">
        <v>179719</v>
      </c>
      <c r="F822" s="8">
        <v>70601</v>
      </c>
      <c r="G822" s="8">
        <v>4549</v>
      </c>
      <c r="H822" s="8">
        <v>1643</v>
      </c>
      <c r="I822" s="8">
        <v>975</v>
      </c>
      <c r="J822" s="19">
        <f t="shared" si="18"/>
        <v>3.9878922095048383E-2</v>
      </c>
      <c r="K822" s="9">
        <v>10.15</v>
      </c>
      <c r="L822" s="10">
        <f t="shared" si="17"/>
        <v>3.9878922095048383E-2</v>
      </c>
    </row>
    <row r="823" spans="1:12" ht="14.25" customHeight="1" x14ac:dyDescent="0.3">
      <c r="A823" s="6" t="s">
        <v>847</v>
      </c>
      <c r="B823" s="6" t="s">
        <v>19</v>
      </c>
      <c r="C823" s="7">
        <v>46010</v>
      </c>
      <c r="D823" s="6" t="s">
        <v>14</v>
      </c>
      <c r="E823" s="8">
        <v>23924</v>
      </c>
      <c r="F823" s="8">
        <v>11970</v>
      </c>
      <c r="G823" s="8">
        <v>195</v>
      </c>
      <c r="H823" s="8">
        <v>81</v>
      </c>
      <c r="I823" s="8">
        <v>148</v>
      </c>
      <c r="J823" s="19">
        <f t="shared" si="18"/>
        <v>1.7722788831299113E-2</v>
      </c>
      <c r="K823" s="9">
        <v>3.54</v>
      </c>
      <c r="L823" s="10">
        <f t="shared" si="17"/>
        <v>1.7722788831299113E-2</v>
      </c>
    </row>
    <row r="824" spans="1:12" ht="14.25" customHeight="1" x14ac:dyDescent="0.3">
      <c r="A824" s="6" t="s">
        <v>848</v>
      </c>
      <c r="B824" s="6" t="s">
        <v>22</v>
      </c>
      <c r="C824" s="7">
        <v>45490</v>
      </c>
      <c r="D824" s="6" t="s">
        <v>23</v>
      </c>
      <c r="E824" s="8">
        <v>300492</v>
      </c>
      <c r="F824" s="8">
        <v>142306</v>
      </c>
      <c r="G824" s="8">
        <v>10847</v>
      </c>
      <c r="H824" s="8">
        <v>2910</v>
      </c>
      <c r="I824" s="8">
        <v>4021</v>
      </c>
      <c r="J824" s="19">
        <f t="shared" si="18"/>
        <v>5.9162972724731443E-2</v>
      </c>
      <c r="K824" s="9">
        <v>12.49</v>
      </c>
      <c r="L824" s="10">
        <f t="shared" si="17"/>
        <v>5.9162972724731443E-2</v>
      </c>
    </row>
    <row r="825" spans="1:12" ht="14.25" customHeight="1" x14ac:dyDescent="0.3">
      <c r="A825" s="6" t="s">
        <v>849</v>
      </c>
      <c r="B825" s="6" t="s">
        <v>16</v>
      </c>
      <c r="C825" s="7">
        <v>45630</v>
      </c>
      <c r="D825" s="6" t="s">
        <v>17</v>
      </c>
      <c r="E825" s="8">
        <v>28585</v>
      </c>
      <c r="F825" s="8">
        <v>11891</v>
      </c>
      <c r="G825" s="8">
        <v>338</v>
      </c>
      <c r="H825" s="8">
        <v>121</v>
      </c>
      <c r="I825" s="8">
        <v>92</v>
      </c>
      <c r="J825" s="19">
        <f t="shared" si="18"/>
        <v>1.9275843974112295E-2</v>
      </c>
      <c r="K825" s="9">
        <v>4.63</v>
      </c>
      <c r="L825" s="10">
        <f t="shared" si="17"/>
        <v>1.9275843974112295E-2</v>
      </c>
    </row>
    <row r="826" spans="1:12" ht="14.25" customHeight="1" x14ac:dyDescent="0.3">
      <c r="A826" s="6" t="s">
        <v>850</v>
      </c>
      <c r="B826" s="6" t="s">
        <v>19</v>
      </c>
      <c r="C826" s="7">
        <v>45941</v>
      </c>
      <c r="D826" s="6" t="s">
        <v>20</v>
      </c>
      <c r="E826" s="8">
        <v>17663</v>
      </c>
      <c r="F826" s="8">
        <v>10699</v>
      </c>
      <c r="G826" s="8">
        <v>273</v>
      </c>
      <c r="H826" s="8">
        <v>17</v>
      </c>
      <c r="I826" s="8">
        <v>27</v>
      </c>
      <c r="J826" s="19">
        <f t="shared" si="18"/>
        <v>1.7947121100605787E-2</v>
      </c>
      <c r="K826" s="9">
        <v>2.96</v>
      </c>
      <c r="L826" s="10">
        <f t="shared" si="17"/>
        <v>1.7947121100605787E-2</v>
      </c>
    </row>
    <row r="827" spans="1:12" ht="14.25" customHeight="1" x14ac:dyDescent="0.3">
      <c r="A827" s="6" t="s">
        <v>851</v>
      </c>
      <c r="B827" s="6" t="s">
        <v>19</v>
      </c>
      <c r="C827" s="7">
        <v>45522</v>
      </c>
      <c r="D827" s="6" t="s">
        <v>14</v>
      </c>
      <c r="E827" s="8">
        <v>11481</v>
      </c>
      <c r="F827" s="8">
        <v>7128</v>
      </c>
      <c r="G827" s="8">
        <v>171</v>
      </c>
      <c r="H827" s="8">
        <v>35</v>
      </c>
      <c r="I827" s="8">
        <v>27</v>
      </c>
      <c r="J827" s="19">
        <f t="shared" si="18"/>
        <v>2.029439944255727E-2</v>
      </c>
      <c r="K827" s="9">
        <v>3.27</v>
      </c>
      <c r="L827" s="10">
        <f t="shared" si="17"/>
        <v>2.029439944255727E-2</v>
      </c>
    </row>
    <row r="828" spans="1:12" ht="14.25" customHeight="1" x14ac:dyDescent="0.3">
      <c r="A828" s="6" t="s">
        <v>852</v>
      </c>
      <c r="B828" s="6" t="s">
        <v>16</v>
      </c>
      <c r="C828" s="7">
        <v>45572</v>
      </c>
      <c r="D828" s="6" t="s">
        <v>23</v>
      </c>
      <c r="E828" s="8">
        <v>30075</v>
      </c>
      <c r="F828" s="8">
        <v>20915</v>
      </c>
      <c r="G828" s="8">
        <v>1601</v>
      </c>
      <c r="H828" s="8">
        <v>228</v>
      </c>
      <c r="I828" s="8">
        <v>62</v>
      </c>
      <c r="J828" s="19">
        <f t="shared" si="18"/>
        <v>6.2876142975893598E-2</v>
      </c>
      <c r="K828" s="9">
        <v>9.0399999999999991</v>
      </c>
      <c r="L828" s="10">
        <f t="shared" si="17"/>
        <v>6.2876142975893598E-2</v>
      </c>
    </row>
    <row r="829" spans="1:12" ht="14.25" customHeight="1" x14ac:dyDescent="0.3">
      <c r="A829" s="6" t="s">
        <v>853</v>
      </c>
      <c r="B829" s="6" t="s">
        <v>13</v>
      </c>
      <c r="C829" s="7">
        <v>45543</v>
      </c>
      <c r="D829" s="6" t="s">
        <v>25</v>
      </c>
      <c r="E829" s="8">
        <v>43087</v>
      </c>
      <c r="F829" s="8">
        <v>29240</v>
      </c>
      <c r="G829" s="8">
        <v>851</v>
      </c>
      <c r="H829" s="8">
        <v>333</v>
      </c>
      <c r="I829" s="8">
        <v>640</v>
      </c>
      <c r="J829" s="19">
        <f t="shared" si="18"/>
        <v>4.2332954255343842E-2</v>
      </c>
      <c r="K829" s="9">
        <v>6.24</v>
      </c>
      <c r="L829" s="10">
        <f t="shared" si="17"/>
        <v>4.2332954255343842E-2</v>
      </c>
    </row>
    <row r="830" spans="1:12" ht="14.25" customHeight="1" x14ac:dyDescent="0.3">
      <c r="A830" s="6" t="s">
        <v>854</v>
      </c>
      <c r="B830" s="6" t="s">
        <v>19</v>
      </c>
      <c r="C830" s="7">
        <v>45923</v>
      </c>
      <c r="D830" s="6" t="s">
        <v>20</v>
      </c>
      <c r="E830" s="8">
        <v>14244</v>
      </c>
      <c r="F830" s="8">
        <v>12768</v>
      </c>
      <c r="G830" s="8">
        <v>231</v>
      </c>
      <c r="H830" s="8">
        <v>47</v>
      </c>
      <c r="I830" s="8">
        <v>94</v>
      </c>
      <c r="J830" s="19">
        <f t="shared" si="18"/>
        <v>2.6116259477674809E-2</v>
      </c>
      <c r="K830" s="9">
        <v>2.91</v>
      </c>
      <c r="L830" s="10">
        <f t="shared" si="17"/>
        <v>2.6116259477674809E-2</v>
      </c>
    </row>
    <row r="831" spans="1:12" ht="14.25" customHeight="1" x14ac:dyDescent="0.3">
      <c r="A831" s="6" t="s">
        <v>855</v>
      </c>
      <c r="B831" s="6" t="s">
        <v>30</v>
      </c>
      <c r="C831" s="7">
        <v>45618</v>
      </c>
      <c r="D831" s="6" t="s">
        <v>14</v>
      </c>
      <c r="E831" s="8">
        <v>18511</v>
      </c>
      <c r="F831" s="8">
        <v>13972</v>
      </c>
      <c r="G831" s="8">
        <v>643</v>
      </c>
      <c r="H831" s="8">
        <v>332</v>
      </c>
      <c r="I831" s="8">
        <v>103</v>
      </c>
      <c r="J831" s="19">
        <f t="shared" si="18"/>
        <v>5.8235643671330557E-2</v>
      </c>
      <c r="K831" s="9">
        <v>7.72</v>
      </c>
      <c r="L831" s="10">
        <f t="shared" si="17"/>
        <v>5.8235643671330557E-2</v>
      </c>
    </row>
    <row r="832" spans="1:12" ht="14.25" customHeight="1" x14ac:dyDescent="0.3">
      <c r="A832" s="6" t="s">
        <v>856</v>
      </c>
      <c r="B832" s="6" t="s">
        <v>19</v>
      </c>
      <c r="C832" s="7">
        <v>45759</v>
      </c>
      <c r="D832" s="6" t="s">
        <v>14</v>
      </c>
      <c r="E832" s="8">
        <v>12617</v>
      </c>
      <c r="F832" s="8">
        <v>9372</v>
      </c>
      <c r="G832" s="8">
        <v>155</v>
      </c>
      <c r="H832" s="8">
        <v>60</v>
      </c>
      <c r="I832" s="8">
        <v>36</v>
      </c>
      <c r="J832" s="19">
        <f t="shared" si="18"/>
        <v>1.9893794087342473E-2</v>
      </c>
      <c r="K832" s="9">
        <v>2.68</v>
      </c>
      <c r="L832" s="10">
        <f t="shared" si="17"/>
        <v>1.9893794087342473E-2</v>
      </c>
    </row>
    <row r="833" spans="1:12" ht="14.25" customHeight="1" x14ac:dyDescent="0.3">
      <c r="A833" s="6" t="s">
        <v>857</v>
      </c>
      <c r="B833" s="6" t="s">
        <v>22</v>
      </c>
      <c r="C833" s="7">
        <v>45436</v>
      </c>
      <c r="D833" s="6" t="s">
        <v>20</v>
      </c>
      <c r="E833" s="8">
        <v>152232</v>
      </c>
      <c r="F833" s="8">
        <v>90649</v>
      </c>
      <c r="G833" s="8">
        <v>5749</v>
      </c>
      <c r="H833" s="8">
        <v>496</v>
      </c>
      <c r="I833" s="8">
        <v>2756</v>
      </c>
      <c r="J833" s="19">
        <f t="shared" si="18"/>
        <v>5.9126859004677075E-2</v>
      </c>
      <c r="K833" s="9">
        <v>9.93</v>
      </c>
      <c r="L833" s="10">
        <f t="shared" si="17"/>
        <v>5.9126859004677075E-2</v>
      </c>
    </row>
    <row r="834" spans="1:12" ht="14.25" customHeight="1" x14ac:dyDescent="0.3">
      <c r="A834" s="6" t="s">
        <v>858</v>
      </c>
      <c r="B834" s="6" t="s">
        <v>13</v>
      </c>
      <c r="C834" s="7">
        <v>45501</v>
      </c>
      <c r="D834" s="6" t="s">
        <v>25</v>
      </c>
      <c r="E834" s="8">
        <v>8589</v>
      </c>
      <c r="F834" s="8">
        <v>3060</v>
      </c>
      <c r="G834" s="8">
        <v>83</v>
      </c>
      <c r="H834" s="8">
        <v>51</v>
      </c>
      <c r="I834" s="8">
        <v>49</v>
      </c>
      <c r="J834" s="19">
        <f t="shared" si="18"/>
        <v>2.1306322039818373E-2</v>
      </c>
      <c r="K834" s="9">
        <v>5.98</v>
      </c>
      <c r="L834" s="10">
        <f t="shared" si="17"/>
        <v>2.1306322039818373E-2</v>
      </c>
    </row>
    <row r="835" spans="1:12" ht="14.25" customHeight="1" x14ac:dyDescent="0.3">
      <c r="A835" s="6" t="s">
        <v>859</v>
      </c>
      <c r="B835" s="6" t="s">
        <v>13</v>
      </c>
      <c r="C835" s="7">
        <v>45698</v>
      </c>
      <c r="D835" s="6" t="s">
        <v>25</v>
      </c>
      <c r="E835" s="8">
        <v>6956</v>
      </c>
      <c r="F835" s="8">
        <v>4036</v>
      </c>
      <c r="G835" s="8">
        <v>176</v>
      </c>
      <c r="H835" s="8">
        <v>69</v>
      </c>
      <c r="I835" s="8">
        <v>55</v>
      </c>
      <c r="J835" s="19">
        <f t="shared" ref="J835:J898" si="19">(G835+H835+I835)/E835</f>
        <v>4.3128234617596323E-2</v>
      </c>
      <c r="K835" s="9">
        <v>7.43</v>
      </c>
      <c r="L835" s="10">
        <f t="shared" si="17"/>
        <v>4.3128234617596323E-2</v>
      </c>
    </row>
    <row r="836" spans="1:12" ht="14.25" customHeight="1" x14ac:dyDescent="0.3">
      <c r="A836" s="6" t="s">
        <v>860</v>
      </c>
      <c r="B836" s="6" t="s">
        <v>13</v>
      </c>
      <c r="C836" s="7">
        <v>45747</v>
      </c>
      <c r="D836" s="6" t="s">
        <v>17</v>
      </c>
      <c r="E836" s="8">
        <v>16675</v>
      </c>
      <c r="F836" s="8">
        <v>5590</v>
      </c>
      <c r="G836" s="8">
        <v>138</v>
      </c>
      <c r="H836" s="8">
        <v>62</v>
      </c>
      <c r="I836" s="8">
        <v>118</v>
      </c>
      <c r="J836" s="19">
        <f t="shared" si="19"/>
        <v>1.9070464767616192E-2</v>
      </c>
      <c r="K836" s="9">
        <v>5.69</v>
      </c>
      <c r="L836" s="10">
        <f t="shared" si="17"/>
        <v>1.9070464767616192E-2</v>
      </c>
    </row>
    <row r="837" spans="1:12" ht="14.25" customHeight="1" x14ac:dyDescent="0.3">
      <c r="A837" s="6" t="s">
        <v>861</v>
      </c>
      <c r="B837" s="6" t="s">
        <v>30</v>
      </c>
      <c r="C837" s="7">
        <v>45414</v>
      </c>
      <c r="D837" s="6" t="s">
        <v>17</v>
      </c>
      <c r="E837" s="8">
        <v>2809</v>
      </c>
      <c r="F837" s="8">
        <v>1265</v>
      </c>
      <c r="G837" s="8">
        <v>28</v>
      </c>
      <c r="H837" s="8">
        <v>22</v>
      </c>
      <c r="I837" s="8">
        <v>17</v>
      </c>
      <c r="J837" s="19">
        <f t="shared" si="19"/>
        <v>2.385190459238163E-2</v>
      </c>
      <c r="K837" s="9">
        <v>5.3</v>
      </c>
      <c r="L837" s="10">
        <f t="shared" si="17"/>
        <v>2.385190459238163E-2</v>
      </c>
    </row>
    <row r="838" spans="1:12" ht="14.25" customHeight="1" x14ac:dyDescent="0.3">
      <c r="A838" s="6" t="s">
        <v>862</v>
      </c>
      <c r="B838" s="6" t="s">
        <v>16</v>
      </c>
      <c r="C838" s="7">
        <v>45638</v>
      </c>
      <c r="D838" s="6" t="s">
        <v>17</v>
      </c>
      <c r="E838" s="8">
        <v>11976</v>
      </c>
      <c r="F838" s="8">
        <v>7595</v>
      </c>
      <c r="G838" s="8">
        <v>348</v>
      </c>
      <c r="H838" s="8">
        <v>40</v>
      </c>
      <c r="I838" s="8">
        <v>9</v>
      </c>
      <c r="J838" s="19">
        <f t="shared" si="19"/>
        <v>3.3149632598530397E-2</v>
      </c>
      <c r="K838" s="9">
        <v>5.23</v>
      </c>
      <c r="L838" s="10">
        <f t="shared" si="17"/>
        <v>3.3149632598530397E-2</v>
      </c>
    </row>
    <row r="839" spans="1:12" ht="14.25" customHeight="1" x14ac:dyDescent="0.3">
      <c r="A839" s="6" t="s">
        <v>863</v>
      </c>
      <c r="B839" s="6" t="s">
        <v>13</v>
      </c>
      <c r="C839" s="7">
        <v>45630</v>
      </c>
      <c r="D839" s="6" t="s">
        <v>25</v>
      </c>
      <c r="E839" s="8">
        <v>50782</v>
      </c>
      <c r="F839" s="8">
        <v>24146</v>
      </c>
      <c r="G839" s="8">
        <v>541</v>
      </c>
      <c r="H839" s="8">
        <v>336</v>
      </c>
      <c r="I839" s="8">
        <v>541</v>
      </c>
      <c r="J839" s="19">
        <f t="shared" si="19"/>
        <v>2.7923279902327597E-2</v>
      </c>
      <c r="K839" s="9">
        <v>5.87</v>
      </c>
      <c r="L839" s="10">
        <f t="shared" si="17"/>
        <v>2.7923279902327597E-2</v>
      </c>
    </row>
    <row r="840" spans="1:12" ht="14.25" customHeight="1" x14ac:dyDescent="0.3">
      <c r="A840" s="6" t="s">
        <v>864</v>
      </c>
      <c r="B840" s="6" t="s">
        <v>16</v>
      </c>
      <c r="C840" s="7">
        <v>45938</v>
      </c>
      <c r="D840" s="6" t="s">
        <v>20</v>
      </c>
      <c r="E840" s="8">
        <v>83900</v>
      </c>
      <c r="F840" s="8">
        <v>49290</v>
      </c>
      <c r="G840" s="8">
        <v>3027</v>
      </c>
      <c r="H840" s="8">
        <v>520</v>
      </c>
      <c r="I840" s="8">
        <v>121</v>
      </c>
      <c r="J840" s="19">
        <f t="shared" si="19"/>
        <v>4.3718712753277711E-2</v>
      </c>
      <c r="K840" s="9">
        <v>7.44</v>
      </c>
      <c r="L840" s="10">
        <f t="shared" si="17"/>
        <v>4.3718712753277711E-2</v>
      </c>
    </row>
    <row r="841" spans="1:12" ht="14.25" customHeight="1" x14ac:dyDescent="0.3">
      <c r="A841" s="6" t="s">
        <v>865</v>
      </c>
      <c r="B841" s="6" t="s">
        <v>22</v>
      </c>
      <c r="C841" s="7">
        <v>45436</v>
      </c>
      <c r="D841" s="6" t="s">
        <v>23</v>
      </c>
      <c r="E841" s="8">
        <v>206094</v>
      </c>
      <c r="F841" s="8">
        <v>92209</v>
      </c>
      <c r="G841" s="8">
        <v>9894</v>
      </c>
      <c r="H841" s="8">
        <v>1277</v>
      </c>
      <c r="I841" s="8">
        <v>1266</v>
      </c>
      <c r="J841" s="19">
        <f t="shared" si="19"/>
        <v>6.0346249769522645E-2</v>
      </c>
      <c r="K841" s="9">
        <v>13.49</v>
      </c>
      <c r="L841" s="10">
        <f t="shared" si="17"/>
        <v>6.0346249769522645E-2</v>
      </c>
    </row>
    <row r="842" spans="1:12" ht="14.25" customHeight="1" x14ac:dyDescent="0.3">
      <c r="A842" s="6" t="s">
        <v>866</v>
      </c>
      <c r="B842" s="6" t="s">
        <v>16</v>
      </c>
      <c r="C842" s="7">
        <v>46003</v>
      </c>
      <c r="D842" s="6" t="s">
        <v>23</v>
      </c>
      <c r="E842" s="8">
        <v>76099</v>
      </c>
      <c r="F842" s="8">
        <v>59299</v>
      </c>
      <c r="G842" s="8">
        <v>1282</v>
      </c>
      <c r="H842" s="8">
        <v>597</v>
      </c>
      <c r="I842" s="8">
        <v>181</v>
      </c>
      <c r="J842" s="19">
        <f t="shared" si="19"/>
        <v>2.7070000919854401E-2</v>
      </c>
      <c r="K842" s="9">
        <v>3.47</v>
      </c>
      <c r="L842" s="10">
        <f t="shared" si="17"/>
        <v>2.7070000919854401E-2</v>
      </c>
    </row>
    <row r="843" spans="1:12" ht="14.25" customHeight="1" x14ac:dyDescent="0.3">
      <c r="A843" s="6" t="s">
        <v>867</v>
      </c>
      <c r="B843" s="6" t="s">
        <v>16</v>
      </c>
      <c r="C843" s="7">
        <v>45575</v>
      </c>
      <c r="D843" s="6" t="s">
        <v>23</v>
      </c>
      <c r="E843" s="8">
        <v>58336</v>
      </c>
      <c r="F843" s="8">
        <v>28891</v>
      </c>
      <c r="G843" s="8">
        <v>1609</v>
      </c>
      <c r="H843" s="8">
        <v>342</v>
      </c>
      <c r="I843" s="8">
        <v>138</v>
      </c>
      <c r="J843" s="19">
        <f t="shared" si="19"/>
        <v>3.5809791552386179E-2</v>
      </c>
      <c r="K843" s="9">
        <v>7.23</v>
      </c>
      <c r="L843" s="10">
        <f t="shared" si="17"/>
        <v>3.5809791552386179E-2</v>
      </c>
    </row>
    <row r="844" spans="1:12" ht="14.25" customHeight="1" x14ac:dyDescent="0.3">
      <c r="A844" s="6" t="s">
        <v>868</v>
      </c>
      <c r="B844" s="6" t="s">
        <v>13</v>
      </c>
      <c r="C844" s="7">
        <v>45294</v>
      </c>
      <c r="D844" s="6" t="s">
        <v>14</v>
      </c>
      <c r="E844" s="8">
        <v>10419</v>
      </c>
      <c r="F844" s="8">
        <v>5268</v>
      </c>
      <c r="G844" s="8">
        <v>95</v>
      </c>
      <c r="H844" s="8">
        <v>19</v>
      </c>
      <c r="I844" s="8">
        <v>98</v>
      </c>
      <c r="J844" s="19">
        <f t="shared" si="19"/>
        <v>2.034744217295326E-2</v>
      </c>
      <c r="K844" s="9">
        <v>4.0199999999999996</v>
      </c>
      <c r="L844" s="10">
        <f t="shared" si="17"/>
        <v>2.034744217295326E-2</v>
      </c>
    </row>
    <row r="845" spans="1:12" ht="14.25" customHeight="1" x14ac:dyDescent="0.3">
      <c r="A845" s="6" t="s">
        <v>869</v>
      </c>
      <c r="B845" s="6" t="s">
        <v>22</v>
      </c>
      <c r="C845" s="7">
        <v>45525</v>
      </c>
      <c r="D845" s="6" t="s">
        <v>20</v>
      </c>
      <c r="E845" s="8">
        <v>397798</v>
      </c>
      <c r="F845" s="8">
        <v>251973</v>
      </c>
      <c r="G845" s="8">
        <v>21279</v>
      </c>
      <c r="H845" s="8">
        <v>7212</v>
      </c>
      <c r="I845" s="8">
        <v>6116</v>
      </c>
      <c r="J845" s="19">
        <f t="shared" si="19"/>
        <v>8.6996415266039545E-2</v>
      </c>
      <c r="K845" s="9">
        <v>13.73</v>
      </c>
      <c r="L845" s="10">
        <f t="shared" si="17"/>
        <v>8.6996415266039545E-2</v>
      </c>
    </row>
    <row r="846" spans="1:12" ht="14.25" customHeight="1" x14ac:dyDescent="0.3">
      <c r="A846" s="6" t="s">
        <v>870</v>
      </c>
      <c r="B846" s="6" t="s">
        <v>22</v>
      </c>
      <c r="C846" s="7">
        <v>45774</v>
      </c>
      <c r="D846" s="6" t="s">
        <v>23</v>
      </c>
      <c r="E846" s="8">
        <v>81633</v>
      </c>
      <c r="F846" s="8">
        <v>42498</v>
      </c>
      <c r="G846" s="8">
        <v>2362</v>
      </c>
      <c r="H846" s="8">
        <v>379</v>
      </c>
      <c r="I846" s="8">
        <v>842</v>
      </c>
      <c r="J846" s="19">
        <f t="shared" si="19"/>
        <v>4.3891563460855293E-2</v>
      </c>
      <c r="K846" s="9">
        <v>8.43</v>
      </c>
      <c r="L846" s="10">
        <f t="shared" si="17"/>
        <v>4.3891563460855293E-2</v>
      </c>
    </row>
    <row r="847" spans="1:12" ht="14.25" customHeight="1" x14ac:dyDescent="0.3">
      <c r="A847" s="6" t="s">
        <v>871</v>
      </c>
      <c r="B847" s="6" t="s">
        <v>16</v>
      </c>
      <c r="C847" s="7">
        <v>45787</v>
      </c>
      <c r="D847" s="6" t="s">
        <v>20</v>
      </c>
      <c r="E847" s="8">
        <v>114853</v>
      </c>
      <c r="F847" s="8">
        <v>90322</v>
      </c>
      <c r="G847" s="8">
        <v>7036</v>
      </c>
      <c r="H847" s="8">
        <v>1008</v>
      </c>
      <c r="I847" s="8">
        <v>460</v>
      </c>
      <c r="J847" s="19">
        <f t="shared" si="19"/>
        <v>7.4042471681192476E-2</v>
      </c>
      <c r="K847" s="9">
        <v>9.42</v>
      </c>
      <c r="L847" s="10">
        <f t="shared" si="17"/>
        <v>7.4042471681192476E-2</v>
      </c>
    </row>
    <row r="848" spans="1:12" ht="14.25" customHeight="1" x14ac:dyDescent="0.3">
      <c r="A848" s="6" t="s">
        <v>872</v>
      </c>
      <c r="B848" s="6" t="s">
        <v>22</v>
      </c>
      <c r="C848" s="7">
        <v>45668</v>
      </c>
      <c r="D848" s="6" t="s">
        <v>23</v>
      </c>
      <c r="E848" s="8">
        <v>101559</v>
      </c>
      <c r="F848" s="8">
        <v>37011</v>
      </c>
      <c r="G848" s="8">
        <v>1403</v>
      </c>
      <c r="H848" s="8">
        <v>866</v>
      </c>
      <c r="I848" s="8">
        <v>1702</v>
      </c>
      <c r="J848" s="19">
        <f t="shared" si="19"/>
        <v>3.9100424383855692E-2</v>
      </c>
      <c r="K848" s="9">
        <v>10.73</v>
      </c>
      <c r="L848" s="10">
        <f t="shared" si="17"/>
        <v>3.9100424383855692E-2</v>
      </c>
    </row>
    <row r="849" spans="1:12" ht="14.25" customHeight="1" x14ac:dyDescent="0.3">
      <c r="A849" s="6" t="s">
        <v>873</v>
      </c>
      <c r="B849" s="6" t="s">
        <v>30</v>
      </c>
      <c r="C849" s="7">
        <v>45531</v>
      </c>
      <c r="D849" s="6" t="s">
        <v>20</v>
      </c>
      <c r="E849" s="8">
        <v>52966</v>
      </c>
      <c r="F849" s="8">
        <v>33208</v>
      </c>
      <c r="G849" s="8">
        <v>1342</v>
      </c>
      <c r="H849" s="8">
        <v>314</v>
      </c>
      <c r="I849" s="8">
        <v>185</v>
      </c>
      <c r="J849" s="19">
        <f t="shared" si="19"/>
        <v>3.4758146735641732E-2</v>
      </c>
      <c r="K849" s="9">
        <v>5.54</v>
      </c>
      <c r="L849" s="10">
        <f t="shared" si="17"/>
        <v>3.4758146735641732E-2</v>
      </c>
    </row>
    <row r="850" spans="1:12" ht="14.25" customHeight="1" x14ac:dyDescent="0.3">
      <c r="A850" s="6" t="s">
        <v>874</v>
      </c>
      <c r="B850" s="6" t="s">
        <v>13</v>
      </c>
      <c r="C850" s="7">
        <v>45537</v>
      </c>
      <c r="D850" s="6" t="s">
        <v>25</v>
      </c>
      <c r="E850" s="8">
        <v>43373</v>
      </c>
      <c r="F850" s="8">
        <v>27936</v>
      </c>
      <c r="G850" s="8">
        <v>345</v>
      </c>
      <c r="H850" s="8">
        <v>509</v>
      </c>
      <c r="I850" s="8">
        <v>623</v>
      </c>
      <c r="J850" s="19">
        <f t="shared" si="19"/>
        <v>3.4053443386438564E-2</v>
      </c>
      <c r="K850" s="9">
        <v>5.29</v>
      </c>
      <c r="L850" s="10">
        <f t="shared" si="17"/>
        <v>3.4053443386438564E-2</v>
      </c>
    </row>
    <row r="851" spans="1:12" ht="14.25" customHeight="1" x14ac:dyDescent="0.3">
      <c r="A851" s="6" t="s">
        <v>875</v>
      </c>
      <c r="B851" s="6" t="s">
        <v>19</v>
      </c>
      <c r="C851" s="7">
        <v>45381</v>
      </c>
      <c r="D851" s="6" t="s">
        <v>17</v>
      </c>
      <c r="E851" s="8">
        <v>23924</v>
      </c>
      <c r="F851" s="8">
        <v>17276</v>
      </c>
      <c r="G851" s="8">
        <v>513</v>
      </c>
      <c r="H851" s="8">
        <v>82</v>
      </c>
      <c r="I851" s="8">
        <v>333</v>
      </c>
      <c r="J851" s="19">
        <f t="shared" si="19"/>
        <v>3.8789500083598064E-2</v>
      </c>
      <c r="K851" s="9">
        <v>5.37</v>
      </c>
      <c r="L851" s="10">
        <f t="shared" si="17"/>
        <v>3.8789500083598064E-2</v>
      </c>
    </row>
    <row r="852" spans="1:12" ht="14.25" customHeight="1" x14ac:dyDescent="0.3">
      <c r="A852" s="6" t="s">
        <v>876</v>
      </c>
      <c r="B852" s="6" t="s">
        <v>22</v>
      </c>
      <c r="C852" s="7">
        <v>45496</v>
      </c>
      <c r="D852" s="6" t="s">
        <v>20</v>
      </c>
      <c r="E852" s="8">
        <v>46459</v>
      </c>
      <c r="F852" s="8">
        <v>22156</v>
      </c>
      <c r="G852" s="8">
        <v>2313</v>
      </c>
      <c r="H852" s="8">
        <v>187</v>
      </c>
      <c r="I852" s="8">
        <v>1002</v>
      </c>
      <c r="J852" s="19">
        <f t="shared" si="19"/>
        <v>7.5378290535741188E-2</v>
      </c>
      <c r="K852" s="9">
        <v>15.81</v>
      </c>
      <c r="L852" s="10">
        <f t="shared" si="17"/>
        <v>7.5378290535741188E-2</v>
      </c>
    </row>
    <row r="853" spans="1:12" ht="14.25" customHeight="1" x14ac:dyDescent="0.3">
      <c r="A853" s="6" t="s">
        <v>877</v>
      </c>
      <c r="B853" s="6" t="s">
        <v>30</v>
      </c>
      <c r="C853" s="7">
        <v>45531</v>
      </c>
      <c r="D853" s="6" t="s">
        <v>17</v>
      </c>
      <c r="E853" s="8">
        <v>14787</v>
      </c>
      <c r="F853" s="8">
        <v>9920</v>
      </c>
      <c r="G853" s="8">
        <v>185</v>
      </c>
      <c r="H853" s="8">
        <v>122</v>
      </c>
      <c r="I853" s="8">
        <v>65</v>
      </c>
      <c r="J853" s="19">
        <f t="shared" si="19"/>
        <v>2.5157232704402517E-2</v>
      </c>
      <c r="K853" s="9">
        <v>3.75</v>
      </c>
      <c r="L853" s="10">
        <f t="shared" si="17"/>
        <v>2.5157232704402517E-2</v>
      </c>
    </row>
    <row r="854" spans="1:12" ht="14.25" customHeight="1" x14ac:dyDescent="0.3">
      <c r="A854" s="6" t="s">
        <v>878</v>
      </c>
      <c r="B854" s="6" t="s">
        <v>13</v>
      </c>
      <c r="C854" s="7">
        <v>45766</v>
      </c>
      <c r="D854" s="6" t="s">
        <v>20</v>
      </c>
      <c r="E854" s="8">
        <v>25391</v>
      </c>
      <c r="F854" s="8">
        <v>11521</v>
      </c>
      <c r="G854" s="8">
        <v>439</v>
      </c>
      <c r="H854" s="8">
        <v>87</v>
      </c>
      <c r="I854" s="8">
        <v>300</v>
      </c>
      <c r="J854" s="19">
        <f t="shared" si="19"/>
        <v>3.2531211846717339E-2</v>
      </c>
      <c r="K854" s="9">
        <v>7.17</v>
      </c>
      <c r="L854" s="10">
        <f t="shared" si="17"/>
        <v>3.2531211846717339E-2</v>
      </c>
    </row>
    <row r="855" spans="1:12" ht="14.25" customHeight="1" x14ac:dyDescent="0.3">
      <c r="A855" s="6" t="s">
        <v>879</v>
      </c>
      <c r="B855" s="6" t="s">
        <v>16</v>
      </c>
      <c r="C855" s="7">
        <v>45954</v>
      </c>
      <c r="D855" s="6" t="s">
        <v>23</v>
      </c>
      <c r="E855" s="8">
        <v>4011</v>
      </c>
      <c r="F855" s="8">
        <v>3061</v>
      </c>
      <c r="G855" s="8">
        <v>210</v>
      </c>
      <c r="H855" s="8">
        <v>42</v>
      </c>
      <c r="I855" s="8">
        <v>5</v>
      </c>
      <c r="J855" s="19">
        <f t="shared" si="19"/>
        <v>6.4073797058090257E-2</v>
      </c>
      <c r="K855" s="9">
        <v>8.4</v>
      </c>
      <c r="L855" s="10">
        <f t="shared" si="17"/>
        <v>6.4073797058090257E-2</v>
      </c>
    </row>
    <row r="856" spans="1:12" ht="14.25" customHeight="1" x14ac:dyDescent="0.3">
      <c r="A856" s="6" t="s">
        <v>880</v>
      </c>
      <c r="B856" s="6" t="s">
        <v>30</v>
      </c>
      <c r="C856" s="7">
        <v>45517</v>
      </c>
      <c r="D856" s="6" t="s">
        <v>20</v>
      </c>
      <c r="E856" s="8">
        <v>13250</v>
      </c>
      <c r="F856" s="8">
        <v>6561</v>
      </c>
      <c r="G856" s="8">
        <v>367</v>
      </c>
      <c r="H856" s="8">
        <v>79</v>
      </c>
      <c r="I856" s="8">
        <v>52</v>
      </c>
      <c r="J856" s="19">
        <f t="shared" si="19"/>
        <v>3.7584905660377359E-2</v>
      </c>
      <c r="K856" s="9">
        <v>7.59</v>
      </c>
      <c r="L856" s="10">
        <f t="shared" si="17"/>
        <v>3.7584905660377359E-2</v>
      </c>
    </row>
    <row r="857" spans="1:12" ht="14.25" customHeight="1" x14ac:dyDescent="0.3">
      <c r="A857" s="6" t="s">
        <v>881</v>
      </c>
      <c r="B857" s="6" t="s">
        <v>19</v>
      </c>
      <c r="C857" s="7">
        <v>45374</v>
      </c>
      <c r="D857" s="6" t="s">
        <v>17</v>
      </c>
      <c r="E857" s="8">
        <v>22087</v>
      </c>
      <c r="F857" s="8">
        <v>14182</v>
      </c>
      <c r="G857" s="8">
        <v>183</v>
      </c>
      <c r="H857" s="8">
        <v>108</v>
      </c>
      <c r="I857" s="8">
        <v>137</v>
      </c>
      <c r="J857" s="19">
        <f t="shared" si="19"/>
        <v>1.937791461040431E-2</v>
      </c>
      <c r="K857" s="9">
        <v>3.02</v>
      </c>
      <c r="L857" s="10">
        <f t="shared" si="17"/>
        <v>1.937791461040431E-2</v>
      </c>
    </row>
    <row r="858" spans="1:12" ht="14.25" customHeight="1" x14ac:dyDescent="0.3">
      <c r="A858" s="6" t="s">
        <v>882</v>
      </c>
      <c r="B858" s="6" t="s">
        <v>22</v>
      </c>
      <c r="C858" s="7">
        <v>45350</v>
      </c>
      <c r="D858" s="6" t="s">
        <v>20</v>
      </c>
      <c r="E858" s="8">
        <v>295436</v>
      </c>
      <c r="F858" s="8">
        <v>113806</v>
      </c>
      <c r="G858" s="8">
        <v>9040</v>
      </c>
      <c r="H858" s="8">
        <v>1908</v>
      </c>
      <c r="I858" s="8">
        <v>4719</v>
      </c>
      <c r="J858" s="19">
        <f t="shared" si="19"/>
        <v>5.3030097889221355E-2</v>
      </c>
      <c r="K858" s="9">
        <v>13.77</v>
      </c>
      <c r="L858" s="10">
        <f t="shared" si="17"/>
        <v>5.3030097889221355E-2</v>
      </c>
    </row>
    <row r="859" spans="1:12" ht="14.25" customHeight="1" x14ac:dyDescent="0.3">
      <c r="A859" s="6" t="s">
        <v>883</v>
      </c>
      <c r="B859" s="6" t="s">
        <v>22</v>
      </c>
      <c r="C859" s="7">
        <v>45662</v>
      </c>
      <c r="D859" s="6" t="s">
        <v>23</v>
      </c>
      <c r="E859" s="8">
        <v>52951</v>
      </c>
      <c r="F859" s="8">
        <v>16963</v>
      </c>
      <c r="G859" s="8">
        <v>1395</v>
      </c>
      <c r="H859" s="8">
        <v>404</v>
      </c>
      <c r="I859" s="8">
        <v>528</v>
      </c>
      <c r="J859" s="19">
        <f t="shared" si="19"/>
        <v>4.3946289966195165E-2</v>
      </c>
      <c r="K859" s="9">
        <v>13.72</v>
      </c>
      <c r="L859" s="10">
        <f t="shared" si="17"/>
        <v>4.3946289966195165E-2</v>
      </c>
    </row>
    <row r="860" spans="1:12" ht="14.25" customHeight="1" x14ac:dyDescent="0.3">
      <c r="A860" s="6" t="s">
        <v>884</v>
      </c>
      <c r="B860" s="6" t="s">
        <v>13</v>
      </c>
      <c r="C860" s="7">
        <v>45673</v>
      </c>
      <c r="D860" s="6" t="s">
        <v>14</v>
      </c>
      <c r="E860" s="8">
        <v>14623</v>
      </c>
      <c r="F860" s="8">
        <v>7165</v>
      </c>
      <c r="G860" s="8">
        <v>351</v>
      </c>
      <c r="H860" s="8">
        <v>46</v>
      </c>
      <c r="I860" s="8">
        <v>187</v>
      </c>
      <c r="J860" s="19">
        <f t="shared" si="19"/>
        <v>3.9937085413389868E-2</v>
      </c>
      <c r="K860" s="9">
        <v>8.15</v>
      </c>
      <c r="L860" s="10">
        <f t="shared" si="17"/>
        <v>3.9937085413389868E-2</v>
      </c>
    </row>
    <row r="861" spans="1:12" ht="14.25" customHeight="1" x14ac:dyDescent="0.3">
      <c r="A861" s="6" t="s">
        <v>885</v>
      </c>
      <c r="B861" s="6" t="s">
        <v>16</v>
      </c>
      <c r="C861" s="7">
        <v>45588</v>
      </c>
      <c r="D861" s="6" t="s">
        <v>25</v>
      </c>
      <c r="E861" s="8">
        <v>16904</v>
      </c>
      <c r="F861" s="8">
        <v>7010</v>
      </c>
      <c r="G861" s="8">
        <v>399</v>
      </c>
      <c r="H861" s="8">
        <v>85</v>
      </c>
      <c r="I861" s="8">
        <v>24</v>
      </c>
      <c r="J861" s="19">
        <f t="shared" si="19"/>
        <v>3.0052058684335067E-2</v>
      </c>
      <c r="K861" s="9">
        <v>7.25</v>
      </c>
      <c r="L861" s="10">
        <f t="shared" si="17"/>
        <v>3.0052058684335067E-2</v>
      </c>
    </row>
    <row r="862" spans="1:12" ht="14.25" customHeight="1" x14ac:dyDescent="0.3">
      <c r="A862" s="6" t="s">
        <v>886</v>
      </c>
      <c r="B862" s="6" t="s">
        <v>16</v>
      </c>
      <c r="C862" s="7">
        <v>45400</v>
      </c>
      <c r="D862" s="6" t="s">
        <v>20</v>
      </c>
      <c r="E862" s="8">
        <v>38223</v>
      </c>
      <c r="F862" s="8">
        <v>15515</v>
      </c>
      <c r="G862" s="8">
        <v>1141</v>
      </c>
      <c r="H862" s="8">
        <v>149</v>
      </c>
      <c r="I862" s="8">
        <v>128</v>
      </c>
      <c r="J862" s="19">
        <f t="shared" si="19"/>
        <v>3.7098082306464691E-2</v>
      </c>
      <c r="K862" s="9">
        <v>9.14</v>
      </c>
      <c r="L862" s="10">
        <f t="shared" si="17"/>
        <v>3.7098082306464691E-2</v>
      </c>
    </row>
    <row r="863" spans="1:12" ht="14.25" customHeight="1" x14ac:dyDescent="0.3">
      <c r="A863" s="6" t="s">
        <v>887</v>
      </c>
      <c r="B863" s="6" t="s">
        <v>16</v>
      </c>
      <c r="C863" s="7">
        <v>45624</v>
      </c>
      <c r="D863" s="6" t="s">
        <v>20</v>
      </c>
      <c r="E863" s="8">
        <v>33576</v>
      </c>
      <c r="F863" s="8">
        <v>20539</v>
      </c>
      <c r="G863" s="8">
        <v>1466</v>
      </c>
      <c r="H863" s="8">
        <v>253</v>
      </c>
      <c r="I863" s="8">
        <v>168</v>
      </c>
      <c r="J863" s="19">
        <f t="shared" si="19"/>
        <v>5.6200857755539672E-2</v>
      </c>
      <c r="K863" s="9">
        <v>9.19</v>
      </c>
      <c r="L863" s="10">
        <f t="shared" si="17"/>
        <v>5.6200857755539672E-2</v>
      </c>
    </row>
    <row r="864" spans="1:12" ht="14.25" customHeight="1" x14ac:dyDescent="0.3">
      <c r="A864" s="6" t="s">
        <v>888</v>
      </c>
      <c r="B864" s="6" t="s">
        <v>19</v>
      </c>
      <c r="C864" s="7">
        <v>45312</v>
      </c>
      <c r="D864" s="6" t="s">
        <v>17</v>
      </c>
      <c r="E864" s="8">
        <v>1717</v>
      </c>
      <c r="F864" s="8">
        <v>1264</v>
      </c>
      <c r="G864" s="8">
        <v>32</v>
      </c>
      <c r="H864" s="8">
        <v>5</v>
      </c>
      <c r="I864" s="8">
        <v>12</v>
      </c>
      <c r="J864" s="19">
        <f t="shared" si="19"/>
        <v>2.8538147932440302E-2</v>
      </c>
      <c r="K864" s="9">
        <v>3.88</v>
      </c>
      <c r="L864" s="10">
        <f t="shared" si="17"/>
        <v>2.8538147932440302E-2</v>
      </c>
    </row>
    <row r="865" spans="1:12" ht="14.25" customHeight="1" x14ac:dyDescent="0.3">
      <c r="A865" s="6" t="s">
        <v>889</v>
      </c>
      <c r="B865" s="6" t="s">
        <v>16</v>
      </c>
      <c r="C865" s="7">
        <v>45679</v>
      </c>
      <c r="D865" s="6" t="s">
        <v>25</v>
      </c>
      <c r="E865" s="8">
        <v>70846</v>
      </c>
      <c r="F865" s="8">
        <v>29721</v>
      </c>
      <c r="G865" s="8">
        <v>836</v>
      </c>
      <c r="H865" s="8">
        <v>407</v>
      </c>
      <c r="I865" s="8">
        <v>288</v>
      </c>
      <c r="J865" s="19">
        <f t="shared" si="19"/>
        <v>2.1610253225305593E-2</v>
      </c>
      <c r="K865" s="9">
        <v>5.15</v>
      </c>
      <c r="L865" s="10">
        <f t="shared" si="17"/>
        <v>2.1610253225305593E-2</v>
      </c>
    </row>
    <row r="866" spans="1:12" ht="14.25" customHeight="1" x14ac:dyDescent="0.3">
      <c r="A866" s="6" t="s">
        <v>890</v>
      </c>
      <c r="B866" s="6" t="s">
        <v>19</v>
      </c>
      <c r="C866" s="7">
        <v>45964</v>
      </c>
      <c r="D866" s="6" t="s">
        <v>17</v>
      </c>
      <c r="E866" s="8">
        <v>16001</v>
      </c>
      <c r="F866" s="8">
        <v>14045</v>
      </c>
      <c r="G866" s="8">
        <v>198</v>
      </c>
      <c r="H866" s="8">
        <v>60</v>
      </c>
      <c r="I866" s="8">
        <v>62</v>
      </c>
      <c r="J866" s="19">
        <f t="shared" si="19"/>
        <v>1.9998750078120117E-2</v>
      </c>
      <c r="K866" s="9">
        <v>2.2799999999999998</v>
      </c>
      <c r="L866" s="10">
        <f t="shared" si="17"/>
        <v>1.9998750078120117E-2</v>
      </c>
    </row>
    <row r="867" spans="1:12" ht="14.25" customHeight="1" x14ac:dyDescent="0.3">
      <c r="A867" s="6" t="s">
        <v>891</v>
      </c>
      <c r="B867" s="6" t="s">
        <v>22</v>
      </c>
      <c r="C867" s="7">
        <v>45835</v>
      </c>
      <c r="D867" s="6" t="s">
        <v>20</v>
      </c>
      <c r="E867" s="8">
        <v>222413</v>
      </c>
      <c r="F867" s="8">
        <v>136652</v>
      </c>
      <c r="G867" s="8">
        <v>14940</v>
      </c>
      <c r="H867" s="8">
        <v>970</v>
      </c>
      <c r="I867" s="8">
        <v>2340</v>
      </c>
      <c r="J867" s="19">
        <f t="shared" si="19"/>
        <v>8.2054556163533604E-2</v>
      </c>
      <c r="K867" s="9">
        <v>13.36</v>
      </c>
      <c r="L867" s="10">
        <f t="shared" si="17"/>
        <v>8.2054556163533604E-2</v>
      </c>
    </row>
    <row r="868" spans="1:12" ht="14.25" customHeight="1" x14ac:dyDescent="0.3">
      <c r="A868" s="6" t="s">
        <v>892</v>
      </c>
      <c r="B868" s="6" t="s">
        <v>22</v>
      </c>
      <c r="C868" s="7">
        <v>45496</v>
      </c>
      <c r="D868" s="6" t="s">
        <v>20</v>
      </c>
      <c r="E868" s="8">
        <v>371354</v>
      </c>
      <c r="F868" s="8">
        <v>158284</v>
      </c>
      <c r="G868" s="8">
        <v>14566</v>
      </c>
      <c r="H868" s="8">
        <v>2207</v>
      </c>
      <c r="I868" s="8">
        <v>5270</v>
      </c>
      <c r="J868" s="19">
        <f t="shared" si="19"/>
        <v>5.93584558130517E-2</v>
      </c>
      <c r="K868" s="9">
        <v>13.93</v>
      </c>
      <c r="L868" s="10">
        <f t="shared" si="17"/>
        <v>5.93584558130517E-2</v>
      </c>
    </row>
    <row r="869" spans="1:12" ht="14.25" customHeight="1" x14ac:dyDescent="0.3">
      <c r="A869" s="6" t="s">
        <v>893</v>
      </c>
      <c r="B869" s="6" t="s">
        <v>19</v>
      </c>
      <c r="C869" s="7">
        <v>45603</v>
      </c>
      <c r="D869" s="6" t="s">
        <v>17</v>
      </c>
      <c r="E869" s="8">
        <v>19988</v>
      </c>
      <c r="F869" s="8">
        <v>11201</v>
      </c>
      <c r="G869" s="8">
        <v>120</v>
      </c>
      <c r="H869" s="8">
        <v>83</v>
      </c>
      <c r="I869" s="8">
        <v>116</v>
      </c>
      <c r="J869" s="19">
        <f t="shared" si="19"/>
        <v>1.595957574544727E-2</v>
      </c>
      <c r="K869" s="9">
        <v>2.85</v>
      </c>
      <c r="L869" s="10">
        <f t="shared" si="17"/>
        <v>1.595957574544727E-2</v>
      </c>
    </row>
    <row r="870" spans="1:12" ht="14.25" customHeight="1" x14ac:dyDescent="0.3">
      <c r="A870" s="6" t="s">
        <v>894</v>
      </c>
      <c r="B870" s="6" t="s">
        <v>19</v>
      </c>
      <c r="C870" s="7">
        <v>45791</v>
      </c>
      <c r="D870" s="6" t="s">
        <v>17</v>
      </c>
      <c r="E870" s="8">
        <v>2183</v>
      </c>
      <c r="F870" s="8">
        <v>1582</v>
      </c>
      <c r="G870" s="8">
        <v>9</v>
      </c>
      <c r="H870" s="8">
        <v>3</v>
      </c>
      <c r="I870" s="8">
        <v>22</v>
      </c>
      <c r="J870" s="19">
        <f t="shared" si="19"/>
        <v>1.5574896930829134E-2</v>
      </c>
      <c r="K870" s="9">
        <v>2.15</v>
      </c>
      <c r="L870" s="10">
        <f t="shared" si="17"/>
        <v>1.5574896930829134E-2</v>
      </c>
    </row>
    <row r="871" spans="1:12" ht="14.25" customHeight="1" x14ac:dyDescent="0.3">
      <c r="A871" s="6" t="s">
        <v>895</v>
      </c>
      <c r="B871" s="6" t="s">
        <v>22</v>
      </c>
      <c r="C871" s="7">
        <v>45847</v>
      </c>
      <c r="D871" s="6" t="s">
        <v>20</v>
      </c>
      <c r="E871" s="8">
        <v>447455</v>
      </c>
      <c r="F871" s="8">
        <v>248265</v>
      </c>
      <c r="G871" s="8">
        <v>27946</v>
      </c>
      <c r="H871" s="8">
        <v>2847</v>
      </c>
      <c r="I871" s="8">
        <v>2710</v>
      </c>
      <c r="J871" s="19">
        <f t="shared" si="19"/>
        <v>7.4874568392352306E-2</v>
      </c>
      <c r="K871" s="9">
        <v>13.49</v>
      </c>
      <c r="L871" s="10">
        <f t="shared" si="17"/>
        <v>7.4874568392352306E-2</v>
      </c>
    </row>
    <row r="872" spans="1:12" ht="14.25" customHeight="1" x14ac:dyDescent="0.3">
      <c r="A872" s="6" t="s">
        <v>896</v>
      </c>
      <c r="B872" s="6" t="s">
        <v>22</v>
      </c>
      <c r="C872" s="7">
        <v>45979</v>
      </c>
      <c r="D872" s="6" t="s">
        <v>23</v>
      </c>
      <c r="E872" s="8">
        <v>375754</v>
      </c>
      <c r="F872" s="8">
        <v>180192</v>
      </c>
      <c r="G872" s="8">
        <v>20777</v>
      </c>
      <c r="H872" s="8">
        <v>4687</v>
      </c>
      <c r="I872" s="8">
        <v>7363</v>
      </c>
      <c r="J872" s="19">
        <f t="shared" si="19"/>
        <v>8.7363008777019011E-2</v>
      </c>
      <c r="K872" s="9">
        <v>18.22</v>
      </c>
      <c r="L872" s="10">
        <f t="shared" si="17"/>
        <v>8.7363008777019011E-2</v>
      </c>
    </row>
    <row r="873" spans="1:12" ht="14.25" customHeight="1" x14ac:dyDescent="0.3">
      <c r="A873" s="6" t="s">
        <v>897</v>
      </c>
      <c r="B873" s="6" t="s">
        <v>19</v>
      </c>
      <c r="C873" s="7">
        <v>45438</v>
      </c>
      <c r="D873" s="6" t="s">
        <v>20</v>
      </c>
      <c r="E873" s="8">
        <v>58711</v>
      </c>
      <c r="F873" s="8">
        <v>51306</v>
      </c>
      <c r="G873" s="8">
        <v>1211</v>
      </c>
      <c r="H873" s="8">
        <v>398</v>
      </c>
      <c r="I873" s="8">
        <v>675</v>
      </c>
      <c r="J873" s="19">
        <f t="shared" si="19"/>
        <v>3.8902420330091468E-2</v>
      </c>
      <c r="K873" s="9">
        <v>4.45</v>
      </c>
      <c r="L873" s="10">
        <f t="shared" si="17"/>
        <v>3.8902420330091468E-2</v>
      </c>
    </row>
    <row r="874" spans="1:12" ht="14.25" customHeight="1" x14ac:dyDescent="0.3">
      <c r="A874" s="6" t="s">
        <v>898</v>
      </c>
      <c r="B874" s="6" t="s">
        <v>22</v>
      </c>
      <c r="C874" s="7">
        <v>45578</v>
      </c>
      <c r="D874" s="6" t="s">
        <v>23</v>
      </c>
      <c r="E874" s="8">
        <v>315347</v>
      </c>
      <c r="F874" s="8">
        <v>113639</v>
      </c>
      <c r="G874" s="8">
        <v>11492</v>
      </c>
      <c r="H874" s="8">
        <v>2613</v>
      </c>
      <c r="I874" s="8">
        <v>5573</v>
      </c>
      <c r="J874" s="19">
        <f t="shared" si="19"/>
        <v>6.2401101009364288E-2</v>
      </c>
      <c r="K874" s="9">
        <v>17.32</v>
      </c>
      <c r="L874" s="10">
        <f t="shared" si="17"/>
        <v>6.2401101009364288E-2</v>
      </c>
    </row>
    <row r="875" spans="1:12" ht="14.25" customHeight="1" x14ac:dyDescent="0.3">
      <c r="A875" s="6" t="s">
        <v>899</v>
      </c>
      <c r="B875" s="6" t="s">
        <v>19</v>
      </c>
      <c r="C875" s="7">
        <v>45735</v>
      </c>
      <c r="D875" s="6" t="s">
        <v>14</v>
      </c>
      <c r="E875" s="8">
        <v>976</v>
      </c>
      <c r="F875" s="8">
        <v>644</v>
      </c>
      <c r="G875" s="8">
        <v>16</v>
      </c>
      <c r="H875" s="8">
        <v>2</v>
      </c>
      <c r="I875" s="8">
        <v>10</v>
      </c>
      <c r="J875" s="19">
        <f t="shared" si="19"/>
        <v>2.8688524590163935E-2</v>
      </c>
      <c r="K875" s="9">
        <v>4.3499999999999996</v>
      </c>
      <c r="L875" s="10">
        <f t="shared" si="17"/>
        <v>2.8688524590163935E-2</v>
      </c>
    </row>
    <row r="876" spans="1:12" ht="14.25" customHeight="1" x14ac:dyDescent="0.3">
      <c r="A876" s="6" t="s">
        <v>900</v>
      </c>
      <c r="B876" s="6" t="s">
        <v>13</v>
      </c>
      <c r="C876" s="7">
        <v>45575</v>
      </c>
      <c r="D876" s="6" t="s">
        <v>25</v>
      </c>
      <c r="E876" s="8">
        <v>19264</v>
      </c>
      <c r="F876" s="8">
        <v>12632</v>
      </c>
      <c r="G876" s="8">
        <v>157</v>
      </c>
      <c r="H876" s="8">
        <v>39</v>
      </c>
      <c r="I876" s="8">
        <v>129</v>
      </c>
      <c r="J876" s="19">
        <f t="shared" si="19"/>
        <v>1.6870847176079735E-2</v>
      </c>
      <c r="K876" s="9">
        <v>2.57</v>
      </c>
      <c r="L876" s="10">
        <f t="shared" si="17"/>
        <v>1.6870847176079735E-2</v>
      </c>
    </row>
    <row r="877" spans="1:12" ht="14.25" customHeight="1" x14ac:dyDescent="0.3">
      <c r="A877" s="6" t="s">
        <v>901</v>
      </c>
      <c r="B877" s="6" t="s">
        <v>22</v>
      </c>
      <c r="C877" s="7">
        <v>45455</v>
      </c>
      <c r="D877" s="6" t="s">
        <v>20</v>
      </c>
      <c r="E877" s="8">
        <v>476942</v>
      </c>
      <c r="F877" s="8">
        <v>275182</v>
      </c>
      <c r="G877" s="8">
        <v>17135</v>
      </c>
      <c r="H877" s="8">
        <v>3065</v>
      </c>
      <c r="I877" s="8">
        <v>3541</v>
      </c>
      <c r="J877" s="19">
        <f t="shared" si="19"/>
        <v>4.977754108466019E-2</v>
      </c>
      <c r="K877" s="9">
        <v>8.6300000000000008</v>
      </c>
      <c r="L877" s="10">
        <f t="shared" si="17"/>
        <v>4.977754108466019E-2</v>
      </c>
    </row>
    <row r="878" spans="1:12" ht="14.25" customHeight="1" x14ac:dyDescent="0.3">
      <c r="A878" s="6" t="s">
        <v>902</v>
      </c>
      <c r="B878" s="6" t="s">
        <v>13</v>
      </c>
      <c r="C878" s="7">
        <v>45572</v>
      </c>
      <c r="D878" s="6" t="s">
        <v>17</v>
      </c>
      <c r="E878" s="8">
        <v>13582</v>
      </c>
      <c r="F878" s="8">
        <v>5738</v>
      </c>
      <c r="G878" s="8">
        <v>57</v>
      </c>
      <c r="H878" s="8">
        <v>49</v>
      </c>
      <c r="I878" s="8">
        <v>115</v>
      </c>
      <c r="J878" s="19">
        <f t="shared" si="19"/>
        <v>1.627153585628037E-2</v>
      </c>
      <c r="K878" s="9">
        <v>3.85</v>
      </c>
      <c r="L878" s="10">
        <f t="shared" si="17"/>
        <v>1.627153585628037E-2</v>
      </c>
    </row>
    <row r="879" spans="1:12" ht="14.25" customHeight="1" x14ac:dyDescent="0.3">
      <c r="A879" s="6" t="s">
        <v>903</v>
      </c>
      <c r="B879" s="6" t="s">
        <v>13</v>
      </c>
      <c r="C879" s="7">
        <v>45752</v>
      </c>
      <c r="D879" s="6" t="s">
        <v>20</v>
      </c>
      <c r="E879" s="8">
        <v>28843</v>
      </c>
      <c r="F879" s="8">
        <v>19168</v>
      </c>
      <c r="G879" s="8">
        <v>698</v>
      </c>
      <c r="H879" s="8">
        <v>117</v>
      </c>
      <c r="I879" s="8">
        <v>149</v>
      </c>
      <c r="J879" s="19">
        <f t="shared" si="19"/>
        <v>3.3422320840411884E-2</v>
      </c>
      <c r="K879" s="9">
        <v>5.03</v>
      </c>
      <c r="L879" s="10">
        <f t="shared" si="17"/>
        <v>3.3422320840411884E-2</v>
      </c>
    </row>
    <row r="880" spans="1:12" ht="14.25" customHeight="1" x14ac:dyDescent="0.3">
      <c r="A880" s="6" t="s">
        <v>904</v>
      </c>
      <c r="B880" s="6" t="s">
        <v>13</v>
      </c>
      <c r="C880" s="7">
        <v>45510</v>
      </c>
      <c r="D880" s="6" t="s">
        <v>14</v>
      </c>
      <c r="E880" s="8">
        <v>29866</v>
      </c>
      <c r="F880" s="8">
        <v>13649</v>
      </c>
      <c r="G880" s="8">
        <v>310</v>
      </c>
      <c r="H880" s="8">
        <v>230</v>
      </c>
      <c r="I880" s="8">
        <v>392</v>
      </c>
      <c r="J880" s="19">
        <f t="shared" si="19"/>
        <v>3.120605370655595E-2</v>
      </c>
      <c r="K880" s="9">
        <v>6.83</v>
      </c>
      <c r="L880" s="10">
        <f t="shared" si="17"/>
        <v>3.120605370655595E-2</v>
      </c>
    </row>
    <row r="881" spans="1:12" ht="14.25" customHeight="1" x14ac:dyDescent="0.3">
      <c r="A881" s="6" t="s">
        <v>905</v>
      </c>
      <c r="B881" s="6" t="s">
        <v>13</v>
      </c>
      <c r="C881" s="7">
        <v>46019</v>
      </c>
      <c r="D881" s="6" t="s">
        <v>25</v>
      </c>
      <c r="E881" s="8">
        <v>29825</v>
      </c>
      <c r="F881" s="8">
        <v>16209</v>
      </c>
      <c r="G881" s="8">
        <v>256</v>
      </c>
      <c r="H881" s="8">
        <v>164</v>
      </c>
      <c r="I881" s="8">
        <v>252</v>
      </c>
      <c r="J881" s="19">
        <f t="shared" si="19"/>
        <v>2.2531433361274097E-2</v>
      </c>
      <c r="K881" s="9">
        <v>4.1500000000000004</v>
      </c>
      <c r="L881" s="10">
        <f t="shared" si="17"/>
        <v>2.2531433361274097E-2</v>
      </c>
    </row>
    <row r="882" spans="1:12" ht="14.25" customHeight="1" x14ac:dyDescent="0.3">
      <c r="A882" s="6" t="s">
        <v>906</v>
      </c>
      <c r="B882" s="6" t="s">
        <v>16</v>
      </c>
      <c r="C882" s="7">
        <v>45552</v>
      </c>
      <c r="D882" s="6" t="s">
        <v>23</v>
      </c>
      <c r="E882" s="8">
        <v>22627</v>
      </c>
      <c r="F882" s="8">
        <v>12566</v>
      </c>
      <c r="G882" s="8">
        <v>267</v>
      </c>
      <c r="H882" s="8">
        <v>57</v>
      </c>
      <c r="I882" s="8">
        <v>43</v>
      </c>
      <c r="J882" s="19">
        <f t="shared" si="19"/>
        <v>1.6219560701816415E-2</v>
      </c>
      <c r="K882" s="9">
        <v>2.92</v>
      </c>
      <c r="L882" s="10">
        <f t="shared" si="17"/>
        <v>1.6219560701816415E-2</v>
      </c>
    </row>
    <row r="883" spans="1:12" ht="14.25" customHeight="1" x14ac:dyDescent="0.3">
      <c r="A883" s="6" t="s">
        <v>907</v>
      </c>
      <c r="B883" s="6" t="s">
        <v>19</v>
      </c>
      <c r="C883" s="7">
        <v>45477</v>
      </c>
      <c r="D883" s="6" t="s">
        <v>17</v>
      </c>
      <c r="E883" s="8">
        <v>3548</v>
      </c>
      <c r="F883" s="8">
        <v>2994</v>
      </c>
      <c r="G883" s="8">
        <v>78</v>
      </c>
      <c r="H883" s="8">
        <v>14</v>
      </c>
      <c r="I883" s="8">
        <v>14</v>
      </c>
      <c r="J883" s="19">
        <f t="shared" si="19"/>
        <v>2.987598647125141E-2</v>
      </c>
      <c r="K883" s="9">
        <v>3.54</v>
      </c>
      <c r="L883" s="10">
        <f t="shared" si="17"/>
        <v>2.987598647125141E-2</v>
      </c>
    </row>
    <row r="884" spans="1:12" ht="14.25" customHeight="1" x14ac:dyDescent="0.3">
      <c r="A884" s="6" t="s">
        <v>908</v>
      </c>
      <c r="B884" s="6" t="s">
        <v>16</v>
      </c>
      <c r="C884" s="7">
        <v>45794</v>
      </c>
      <c r="D884" s="6" t="s">
        <v>17</v>
      </c>
      <c r="E884" s="8">
        <v>25939</v>
      </c>
      <c r="F884" s="8">
        <v>10890</v>
      </c>
      <c r="G884" s="8">
        <v>633</v>
      </c>
      <c r="H884" s="8">
        <v>43</v>
      </c>
      <c r="I884" s="8">
        <v>71</v>
      </c>
      <c r="J884" s="19">
        <f t="shared" si="19"/>
        <v>2.8798334554146265E-2</v>
      </c>
      <c r="K884" s="9">
        <v>6.86</v>
      </c>
      <c r="L884" s="10">
        <f t="shared" si="17"/>
        <v>2.8798334554146265E-2</v>
      </c>
    </row>
    <row r="885" spans="1:12" ht="14.25" customHeight="1" x14ac:dyDescent="0.3">
      <c r="A885" s="6" t="s">
        <v>909</v>
      </c>
      <c r="B885" s="6" t="s">
        <v>13</v>
      </c>
      <c r="C885" s="7">
        <v>45496</v>
      </c>
      <c r="D885" s="6" t="s">
        <v>14</v>
      </c>
      <c r="E885" s="8">
        <v>5443</v>
      </c>
      <c r="F885" s="8">
        <v>2215</v>
      </c>
      <c r="G885" s="8">
        <v>30</v>
      </c>
      <c r="H885" s="8">
        <v>39</v>
      </c>
      <c r="I885" s="8">
        <v>54</v>
      </c>
      <c r="J885" s="19">
        <f t="shared" si="19"/>
        <v>2.2597832077898217E-2</v>
      </c>
      <c r="K885" s="9">
        <v>5.55</v>
      </c>
      <c r="L885" s="10">
        <f t="shared" si="17"/>
        <v>2.2597832077898217E-2</v>
      </c>
    </row>
    <row r="886" spans="1:12" ht="14.25" customHeight="1" x14ac:dyDescent="0.3">
      <c r="A886" s="6" t="s">
        <v>910</v>
      </c>
      <c r="B886" s="6" t="s">
        <v>16</v>
      </c>
      <c r="C886" s="7">
        <v>45672</v>
      </c>
      <c r="D886" s="6" t="s">
        <v>20</v>
      </c>
      <c r="E886" s="8">
        <v>66171</v>
      </c>
      <c r="F886" s="8">
        <v>42597</v>
      </c>
      <c r="G886" s="8">
        <v>2477</v>
      </c>
      <c r="H886" s="8">
        <v>500</v>
      </c>
      <c r="I886" s="8">
        <v>76</v>
      </c>
      <c r="J886" s="19">
        <f t="shared" si="19"/>
        <v>4.6138036299889683E-2</v>
      </c>
      <c r="K886" s="9">
        <v>7.17</v>
      </c>
      <c r="L886" s="10">
        <f t="shared" si="17"/>
        <v>4.6138036299889683E-2</v>
      </c>
    </row>
    <row r="887" spans="1:12" ht="14.25" customHeight="1" x14ac:dyDescent="0.3">
      <c r="A887" s="6" t="s">
        <v>911</v>
      </c>
      <c r="B887" s="6" t="s">
        <v>13</v>
      </c>
      <c r="C887" s="7">
        <v>45577</v>
      </c>
      <c r="D887" s="6" t="s">
        <v>20</v>
      </c>
      <c r="E887" s="8">
        <v>16428</v>
      </c>
      <c r="F887" s="8">
        <v>5621</v>
      </c>
      <c r="G887" s="8">
        <v>56</v>
      </c>
      <c r="H887" s="8">
        <v>78</v>
      </c>
      <c r="I887" s="8">
        <v>39</v>
      </c>
      <c r="J887" s="19">
        <f t="shared" si="19"/>
        <v>1.0530801071341613E-2</v>
      </c>
      <c r="K887" s="9">
        <v>3.08</v>
      </c>
      <c r="L887" s="10">
        <f t="shared" si="17"/>
        <v>1.0530801071341613E-2</v>
      </c>
    </row>
    <row r="888" spans="1:12" ht="14.25" customHeight="1" x14ac:dyDescent="0.3">
      <c r="A888" s="6" t="s">
        <v>912</v>
      </c>
      <c r="B888" s="6" t="s">
        <v>16</v>
      </c>
      <c r="C888" s="7">
        <v>45804</v>
      </c>
      <c r="D888" s="6" t="s">
        <v>25</v>
      </c>
      <c r="E888" s="8">
        <v>33748</v>
      </c>
      <c r="F888" s="8">
        <v>20652</v>
      </c>
      <c r="G888" s="8">
        <v>1454</v>
      </c>
      <c r="H888" s="8">
        <v>46</v>
      </c>
      <c r="I888" s="8">
        <v>194</v>
      </c>
      <c r="J888" s="19">
        <f t="shared" si="19"/>
        <v>5.0195567144719684E-2</v>
      </c>
      <c r="K888" s="9">
        <v>8.1999999999999993</v>
      </c>
      <c r="L888" s="10">
        <f t="shared" si="17"/>
        <v>5.0195567144719684E-2</v>
      </c>
    </row>
    <row r="889" spans="1:12" ht="14.25" customHeight="1" x14ac:dyDescent="0.3">
      <c r="A889" s="6" t="s">
        <v>913</v>
      </c>
      <c r="B889" s="6" t="s">
        <v>22</v>
      </c>
      <c r="C889" s="7">
        <v>45657</v>
      </c>
      <c r="D889" s="6" t="s">
        <v>23</v>
      </c>
      <c r="E889" s="8">
        <v>257884</v>
      </c>
      <c r="F889" s="8">
        <v>169444</v>
      </c>
      <c r="G889" s="8">
        <v>13273</v>
      </c>
      <c r="H889" s="8">
        <v>3292</v>
      </c>
      <c r="I889" s="8">
        <v>3944</v>
      </c>
      <c r="J889" s="19">
        <f t="shared" si="19"/>
        <v>7.9528004839385144E-2</v>
      </c>
      <c r="K889" s="9">
        <v>12.1</v>
      </c>
      <c r="L889" s="10">
        <f t="shared" si="17"/>
        <v>7.9528004839385144E-2</v>
      </c>
    </row>
    <row r="890" spans="1:12" ht="14.25" customHeight="1" x14ac:dyDescent="0.3">
      <c r="A890" s="6" t="s">
        <v>914</v>
      </c>
      <c r="B890" s="6" t="s">
        <v>16</v>
      </c>
      <c r="C890" s="7">
        <v>45417</v>
      </c>
      <c r="D890" s="6" t="s">
        <v>25</v>
      </c>
      <c r="E890" s="8">
        <v>45413</v>
      </c>
      <c r="F890" s="8">
        <v>34207</v>
      </c>
      <c r="G890" s="8">
        <v>802</v>
      </c>
      <c r="H890" s="8">
        <v>100</v>
      </c>
      <c r="I890" s="8">
        <v>178</v>
      </c>
      <c r="J890" s="19">
        <f t="shared" si="19"/>
        <v>2.3781736507167552E-2</v>
      </c>
      <c r="K890" s="9">
        <v>3.16</v>
      </c>
      <c r="L890" s="10">
        <f t="shared" si="17"/>
        <v>2.3781736507167552E-2</v>
      </c>
    </row>
    <row r="891" spans="1:12" ht="14.25" customHeight="1" x14ac:dyDescent="0.3">
      <c r="A891" s="6" t="s">
        <v>915</v>
      </c>
      <c r="B891" s="6" t="s">
        <v>19</v>
      </c>
      <c r="C891" s="7">
        <v>45442</v>
      </c>
      <c r="D891" s="6" t="s">
        <v>14</v>
      </c>
      <c r="E891" s="8">
        <v>1754</v>
      </c>
      <c r="F891" s="8">
        <v>1371</v>
      </c>
      <c r="G891" s="8">
        <v>25</v>
      </c>
      <c r="H891" s="8">
        <v>6</v>
      </c>
      <c r="I891" s="8">
        <v>6</v>
      </c>
      <c r="J891" s="19">
        <f t="shared" si="19"/>
        <v>2.1094640820980615E-2</v>
      </c>
      <c r="K891" s="9">
        <v>2.7</v>
      </c>
      <c r="L891" s="10">
        <f t="shared" si="17"/>
        <v>2.1094640820980615E-2</v>
      </c>
    </row>
    <row r="892" spans="1:12" ht="14.25" customHeight="1" x14ac:dyDescent="0.3">
      <c r="A892" s="6" t="s">
        <v>916</v>
      </c>
      <c r="B892" s="6" t="s">
        <v>19</v>
      </c>
      <c r="C892" s="7">
        <v>45984</v>
      </c>
      <c r="D892" s="6" t="s">
        <v>17</v>
      </c>
      <c r="E892" s="8">
        <v>276</v>
      </c>
      <c r="F892" s="8">
        <v>248</v>
      </c>
      <c r="G892" s="8">
        <v>5</v>
      </c>
      <c r="H892" s="8">
        <v>1</v>
      </c>
      <c r="I892" s="8">
        <v>2</v>
      </c>
      <c r="J892" s="19">
        <f t="shared" si="19"/>
        <v>2.8985507246376812E-2</v>
      </c>
      <c r="K892" s="9">
        <v>3.23</v>
      </c>
      <c r="L892" s="10">
        <f t="shared" si="17"/>
        <v>2.8985507246376812E-2</v>
      </c>
    </row>
    <row r="893" spans="1:12" ht="14.25" customHeight="1" x14ac:dyDescent="0.3">
      <c r="A893" s="6" t="s">
        <v>917</v>
      </c>
      <c r="B893" s="6" t="s">
        <v>13</v>
      </c>
      <c r="C893" s="7">
        <v>45579</v>
      </c>
      <c r="D893" s="6" t="s">
        <v>25</v>
      </c>
      <c r="E893" s="8">
        <v>15505</v>
      </c>
      <c r="F893" s="8">
        <v>6664</v>
      </c>
      <c r="G893" s="8">
        <v>145</v>
      </c>
      <c r="H893" s="8">
        <v>27</v>
      </c>
      <c r="I893" s="8">
        <v>145</v>
      </c>
      <c r="J893" s="19">
        <f t="shared" si="19"/>
        <v>2.0445017736214124E-2</v>
      </c>
      <c r="K893" s="9">
        <v>4.76</v>
      </c>
      <c r="L893" s="10">
        <f t="shared" si="17"/>
        <v>2.0445017736214124E-2</v>
      </c>
    </row>
    <row r="894" spans="1:12" ht="14.25" customHeight="1" x14ac:dyDescent="0.3">
      <c r="A894" s="6" t="s">
        <v>918</v>
      </c>
      <c r="B894" s="6" t="s">
        <v>19</v>
      </c>
      <c r="C894" s="7">
        <v>45595</v>
      </c>
      <c r="D894" s="6" t="s">
        <v>20</v>
      </c>
      <c r="E894" s="8">
        <v>14933</v>
      </c>
      <c r="F894" s="8">
        <v>8845</v>
      </c>
      <c r="G894" s="8">
        <v>112</v>
      </c>
      <c r="H894" s="8">
        <v>44</v>
      </c>
      <c r="I894" s="8">
        <v>68</v>
      </c>
      <c r="J894" s="19">
        <f t="shared" si="19"/>
        <v>1.5000334828902432E-2</v>
      </c>
      <c r="K894" s="9">
        <v>2.5299999999999998</v>
      </c>
      <c r="L894" s="10">
        <f t="shared" si="17"/>
        <v>1.5000334828902432E-2</v>
      </c>
    </row>
    <row r="895" spans="1:12" ht="14.25" customHeight="1" x14ac:dyDescent="0.3">
      <c r="A895" s="6" t="s">
        <v>919</v>
      </c>
      <c r="B895" s="6" t="s">
        <v>22</v>
      </c>
      <c r="C895" s="7">
        <v>45889</v>
      </c>
      <c r="D895" s="6" t="s">
        <v>23</v>
      </c>
      <c r="E895" s="8">
        <v>81936</v>
      </c>
      <c r="F895" s="8">
        <v>52909</v>
      </c>
      <c r="G895" s="8">
        <v>2978</v>
      </c>
      <c r="H895" s="8">
        <v>740</v>
      </c>
      <c r="I895" s="8">
        <v>2081</v>
      </c>
      <c r="J895" s="19">
        <f t="shared" si="19"/>
        <v>7.0774751025190388E-2</v>
      </c>
      <c r="K895" s="9">
        <v>10.96</v>
      </c>
      <c r="L895" s="10">
        <f t="shared" si="17"/>
        <v>7.0774751025190388E-2</v>
      </c>
    </row>
    <row r="896" spans="1:12" ht="14.25" customHeight="1" x14ac:dyDescent="0.3">
      <c r="A896" s="6" t="s">
        <v>920</v>
      </c>
      <c r="B896" s="6" t="s">
        <v>16</v>
      </c>
      <c r="C896" s="7">
        <v>45680</v>
      </c>
      <c r="D896" s="6" t="s">
        <v>23</v>
      </c>
      <c r="E896" s="8">
        <v>57977</v>
      </c>
      <c r="F896" s="8">
        <v>40677</v>
      </c>
      <c r="G896" s="8">
        <v>2927</v>
      </c>
      <c r="H896" s="8">
        <v>527</v>
      </c>
      <c r="I896" s="8">
        <v>120</v>
      </c>
      <c r="J896" s="19">
        <f t="shared" si="19"/>
        <v>6.1645135139796817E-2</v>
      </c>
      <c r="K896" s="9">
        <v>8.7899999999999991</v>
      </c>
      <c r="L896" s="10">
        <f t="shared" si="17"/>
        <v>6.1645135139796817E-2</v>
      </c>
    </row>
    <row r="897" spans="1:12" ht="14.25" customHeight="1" x14ac:dyDescent="0.3">
      <c r="A897" s="6" t="s">
        <v>921</v>
      </c>
      <c r="B897" s="6" t="s">
        <v>16</v>
      </c>
      <c r="C897" s="7">
        <v>45535</v>
      </c>
      <c r="D897" s="6" t="s">
        <v>23</v>
      </c>
      <c r="E897" s="8">
        <v>89229</v>
      </c>
      <c r="F897" s="8">
        <v>62294</v>
      </c>
      <c r="G897" s="8">
        <v>2398</v>
      </c>
      <c r="H897" s="8">
        <v>801</v>
      </c>
      <c r="I897" s="8">
        <v>138</v>
      </c>
      <c r="J897" s="19">
        <f t="shared" si="19"/>
        <v>3.7398155308251801E-2</v>
      </c>
      <c r="K897" s="9">
        <v>5.36</v>
      </c>
      <c r="L897" s="10">
        <f t="shared" si="17"/>
        <v>3.7398155308251801E-2</v>
      </c>
    </row>
    <row r="898" spans="1:12" ht="14.25" customHeight="1" x14ac:dyDescent="0.3">
      <c r="A898" s="6" t="s">
        <v>922</v>
      </c>
      <c r="B898" s="6" t="s">
        <v>30</v>
      </c>
      <c r="C898" s="7">
        <v>46009</v>
      </c>
      <c r="D898" s="6" t="s">
        <v>25</v>
      </c>
      <c r="E898" s="8">
        <v>4496</v>
      </c>
      <c r="F898" s="8">
        <v>2387</v>
      </c>
      <c r="G898" s="8">
        <v>67</v>
      </c>
      <c r="H898" s="8">
        <v>40</v>
      </c>
      <c r="I898" s="8">
        <v>17</v>
      </c>
      <c r="J898" s="19">
        <f t="shared" si="19"/>
        <v>2.7580071174377226E-2</v>
      </c>
      <c r="K898" s="9">
        <v>5.19</v>
      </c>
      <c r="L898" s="10">
        <f t="shared" si="17"/>
        <v>2.7580071174377226E-2</v>
      </c>
    </row>
    <row r="899" spans="1:12" ht="14.25" customHeight="1" x14ac:dyDescent="0.3">
      <c r="A899" s="6" t="s">
        <v>923</v>
      </c>
      <c r="B899" s="6" t="s">
        <v>22</v>
      </c>
      <c r="C899" s="7">
        <v>45650</v>
      </c>
      <c r="D899" s="6" t="s">
        <v>23</v>
      </c>
      <c r="E899" s="8">
        <v>114649</v>
      </c>
      <c r="F899" s="8">
        <v>40915</v>
      </c>
      <c r="G899" s="8">
        <v>4905</v>
      </c>
      <c r="H899" s="8">
        <v>627</v>
      </c>
      <c r="I899" s="8">
        <v>1019</v>
      </c>
      <c r="J899" s="19">
        <f t="shared" ref="J899:J962" si="20">(G899+H899+I899)/E899</f>
        <v>5.7139617441059234E-2</v>
      </c>
      <c r="K899" s="9">
        <v>16.010000000000002</v>
      </c>
      <c r="L899" s="10">
        <f t="shared" si="17"/>
        <v>5.7139617441059234E-2</v>
      </c>
    </row>
    <row r="900" spans="1:12" ht="14.25" customHeight="1" x14ac:dyDescent="0.3">
      <c r="A900" s="6" t="s">
        <v>924</v>
      </c>
      <c r="B900" s="6" t="s">
        <v>16</v>
      </c>
      <c r="C900" s="7">
        <v>45777</v>
      </c>
      <c r="D900" s="6" t="s">
        <v>25</v>
      </c>
      <c r="E900" s="8">
        <v>57763</v>
      </c>
      <c r="F900" s="8">
        <v>39016</v>
      </c>
      <c r="G900" s="8">
        <v>2813</v>
      </c>
      <c r="H900" s="8">
        <v>376</v>
      </c>
      <c r="I900" s="8">
        <v>121</v>
      </c>
      <c r="J900" s="19">
        <f t="shared" si="20"/>
        <v>5.7303117912850789E-2</v>
      </c>
      <c r="K900" s="9">
        <v>8.48</v>
      </c>
      <c r="L900" s="10">
        <f t="shared" si="17"/>
        <v>5.7303117912850789E-2</v>
      </c>
    </row>
    <row r="901" spans="1:12" ht="14.25" customHeight="1" x14ac:dyDescent="0.3">
      <c r="A901" s="6" t="s">
        <v>925</v>
      </c>
      <c r="B901" s="6" t="s">
        <v>19</v>
      </c>
      <c r="C901" s="7">
        <v>45332</v>
      </c>
      <c r="D901" s="6" t="s">
        <v>14</v>
      </c>
      <c r="E901" s="8">
        <v>13664</v>
      </c>
      <c r="F901" s="8">
        <v>7037</v>
      </c>
      <c r="G901" s="8">
        <v>193</v>
      </c>
      <c r="H901" s="8">
        <v>40</v>
      </c>
      <c r="I901" s="8">
        <v>28</v>
      </c>
      <c r="J901" s="19">
        <f t="shared" si="20"/>
        <v>1.9101288056206089E-2</v>
      </c>
      <c r="K901" s="9">
        <v>3.71</v>
      </c>
      <c r="L901" s="10">
        <f t="shared" si="17"/>
        <v>1.9101288056206089E-2</v>
      </c>
    </row>
    <row r="902" spans="1:12" ht="14.25" customHeight="1" x14ac:dyDescent="0.3">
      <c r="A902" s="6" t="s">
        <v>926</v>
      </c>
      <c r="B902" s="6" t="s">
        <v>13</v>
      </c>
      <c r="C902" s="7">
        <v>45771</v>
      </c>
      <c r="D902" s="6" t="s">
        <v>20</v>
      </c>
      <c r="E902" s="8">
        <v>64115</v>
      </c>
      <c r="F902" s="8">
        <v>40522</v>
      </c>
      <c r="G902" s="8">
        <v>595</v>
      </c>
      <c r="H902" s="8">
        <v>676</v>
      </c>
      <c r="I902" s="8">
        <v>1102</v>
      </c>
      <c r="J902" s="19">
        <f t="shared" si="20"/>
        <v>3.7011619745769324E-2</v>
      </c>
      <c r="K902" s="9">
        <v>5.86</v>
      </c>
      <c r="L902" s="10">
        <f t="shared" si="17"/>
        <v>3.7011619745769324E-2</v>
      </c>
    </row>
    <row r="903" spans="1:12" ht="14.25" customHeight="1" x14ac:dyDescent="0.3">
      <c r="A903" s="6" t="s">
        <v>927</v>
      </c>
      <c r="B903" s="6" t="s">
        <v>22</v>
      </c>
      <c r="C903" s="7">
        <v>45470</v>
      </c>
      <c r="D903" s="6" t="s">
        <v>23</v>
      </c>
      <c r="E903" s="8">
        <v>90328</v>
      </c>
      <c r="F903" s="8">
        <v>42224</v>
      </c>
      <c r="G903" s="8">
        <v>1995</v>
      </c>
      <c r="H903" s="8">
        <v>1075</v>
      </c>
      <c r="I903" s="8">
        <v>1562</v>
      </c>
      <c r="J903" s="19">
        <f t="shared" si="20"/>
        <v>5.1279780356035781E-2</v>
      </c>
      <c r="K903" s="9">
        <v>10.97</v>
      </c>
      <c r="L903" s="10">
        <f t="shared" si="17"/>
        <v>5.1279780356035781E-2</v>
      </c>
    </row>
    <row r="904" spans="1:12" ht="14.25" customHeight="1" x14ac:dyDescent="0.3">
      <c r="A904" s="6" t="s">
        <v>928</v>
      </c>
      <c r="B904" s="6" t="s">
        <v>16</v>
      </c>
      <c r="C904" s="7">
        <v>45588</v>
      </c>
      <c r="D904" s="6" t="s">
        <v>17</v>
      </c>
      <c r="E904" s="8">
        <v>35571</v>
      </c>
      <c r="F904" s="8">
        <v>26417</v>
      </c>
      <c r="G904" s="8">
        <v>1163</v>
      </c>
      <c r="H904" s="8">
        <v>337</v>
      </c>
      <c r="I904" s="8">
        <v>87</v>
      </c>
      <c r="J904" s="19">
        <f t="shared" si="20"/>
        <v>4.4614995361389895E-2</v>
      </c>
      <c r="K904" s="9">
        <v>6.01</v>
      </c>
      <c r="L904" s="10">
        <f t="shared" si="17"/>
        <v>4.4614995361389895E-2</v>
      </c>
    </row>
    <row r="905" spans="1:12" ht="14.25" customHeight="1" x14ac:dyDescent="0.3">
      <c r="A905" s="6" t="s">
        <v>929</v>
      </c>
      <c r="B905" s="6" t="s">
        <v>16</v>
      </c>
      <c r="C905" s="7">
        <v>45896</v>
      </c>
      <c r="D905" s="6" t="s">
        <v>17</v>
      </c>
      <c r="E905" s="8">
        <v>40905</v>
      </c>
      <c r="F905" s="8">
        <v>31015</v>
      </c>
      <c r="G905" s="8">
        <v>2164</v>
      </c>
      <c r="H905" s="8">
        <v>203</v>
      </c>
      <c r="I905" s="8">
        <v>58</v>
      </c>
      <c r="J905" s="19">
        <f t="shared" si="20"/>
        <v>5.9283706148392616E-2</v>
      </c>
      <c r="K905" s="9">
        <v>7.82</v>
      </c>
      <c r="L905" s="10">
        <f t="shared" si="17"/>
        <v>5.9283706148392616E-2</v>
      </c>
    </row>
    <row r="906" spans="1:12" ht="14.25" customHeight="1" x14ac:dyDescent="0.3">
      <c r="A906" s="6" t="s">
        <v>930</v>
      </c>
      <c r="B906" s="6" t="s">
        <v>16</v>
      </c>
      <c r="C906" s="7">
        <v>45565</v>
      </c>
      <c r="D906" s="6" t="s">
        <v>17</v>
      </c>
      <c r="E906" s="8">
        <v>28847</v>
      </c>
      <c r="F906" s="8">
        <v>16971</v>
      </c>
      <c r="G906" s="8">
        <v>1078</v>
      </c>
      <c r="H906" s="8">
        <v>73</v>
      </c>
      <c r="I906" s="8">
        <v>164</v>
      </c>
      <c r="J906" s="19">
        <f t="shared" si="20"/>
        <v>4.558532949700142E-2</v>
      </c>
      <c r="K906" s="9">
        <v>7.75</v>
      </c>
      <c r="L906" s="10">
        <f t="shared" si="17"/>
        <v>4.558532949700142E-2</v>
      </c>
    </row>
    <row r="907" spans="1:12" ht="14.25" customHeight="1" x14ac:dyDescent="0.3">
      <c r="A907" s="6" t="s">
        <v>931</v>
      </c>
      <c r="B907" s="6" t="s">
        <v>13</v>
      </c>
      <c r="C907" s="7">
        <v>45862</v>
      </c>
      <c r="D907" s="6" t="s">
        <v>14</v>
      </c>
      <c r="E907" s="8">
        <v>4581</v>
      </c>
      <c r="F907" s="8">
        <v>1515</v>
      </c>
      <c r="G907" s="8">
        <v>34</v>
      </c>
      <c r="H907" s="8">
        <v>13</v>
      </c>
      <c r="I907" s="8">
        <v>45</v>
      </c>
      <c r="J907" s="19">
        <f t="shared" si="20"/>
        <v>2.0082951320672341E-2</v>
      </c>
      <c r="K907" s="9">
        <v>6.07</v>
      </c>
      <c r="L907" s="10">
        <f t="shared" si="17"/>
        <v>2.0082951320672341E-2</v>
      </c>
    </row>
    <row r="908" spans="1:12" ht="14.25" customHeight="1" x14ac:dyDescent="0.3">
      <c r="A908" s="6" t="s">
        <v>932</v>
      </c>
      <c r="B908" s="6" t="s">
        <v>22</v>
      </c>
      <c r="C908" s="7">
        <v>45605</v>
      </c>
      <c r="D908" s="6" t="s">
        <v>20</v>
      </c>
      <c r="E908" s="8">
        <v>231187</v>
      </c>
      <c r="F908" s="8">
        <v>120922</v>
      </c>
      <c r="G908" s="8">
        <v>6396</v>
      </c>
      <c r="H908" s="8">
        <v>3163</v>
      </c>
      <c r="I908" s="8">
        <v>3519</v>
      </c>
      <c r="J908" s="19">
        <f t="shared" si="20"/>
        <v>5.656892472327596E-2</v>
      </c>
      <c r="K908" s="9">
        <v>10.82</v>
      </c>
      <c r="L908" s="10">
        <f t="shared" si="17"/>
        <v>5.656892472327596E-2</v>
      </c>
    </row>
    <row r="909" spans="1:12" ht="14.25" customHeight="1" x14ac:dyDescent="0.3">
      <c r="A909" s="6" t="s">
        <v>933</v>
      </c>
      <c r="B909" s="6" t="s">
        <v>16</v>
      </c>
      <c r="C909" s="7">
        <v>45401</v>
      </c>
      <c r="D909" s="6" t="s">
        <v>17</v>
      </c>
      <c r="E909" s="8">
        <v>19046</v>
      </c>
      <c r="F909" s="8">
        <v>10075</v>
      </c>
      <c r="G909" s="8">
        <v>319</v>
      </c>
      <c r="H909" s="8">
        <v>147</v>
      </c>
      <c r="I909" s="8">
        <v>67</v>
      </c>
      <c r="J909" s="19">
        <f t="shared" si="20"/>
        <v>2.7984878714690749E-2</v>
      </c>
      <c r="K909" s="9">
        <v>5.29</v>
      </c>
      <c r="L909" s="10">
        <f t="shared" si="17"/>
        <v>2.7984878714690749E-2</v>
      </c>
    </row>
    <row r="910" spans="1:12" ht="14.25" customHeight="1" x14ac:dyDescent="0.3">
      <c r="A910" s="6" t="s">
        <v>934</v>
      </c>
      <c r="B910" s="6" t="s">
        <v>16</v>
      </c>
      <c r="C910" s="7">
        <v>45968</v>
      </c>
      <c r="D910" s="6" t="s">
        <v>23</v>
      </c>
      <c r="E910" s="8">
        <v>24051</v>
      </c>
      <c r="F910" s="8">
        <v>10657</v>
      </c>
      <c r="G910" s="8">
        <v>755</v>
      </c>
      <c r="H910" s="8">
        <v>153</v>
      </c>
      <c r="I910" s="8">
        <v>85</v>
      </c>
      <c r="J910" s="19">
        <f t="shared" si="20"/>
        <v>4.1287264562804044E-2</v>
      </c>
      <c r="K910" s="9">
        <v>9.32</v>
      </c>
      <c r="L910" s="10">
        <f t="shared" si="17"/>
        <v>4.1287264562804044E-2</v>
      </c>
    </row>
    <row r="911" spans="1:12" ht="14.25" customHeight="1" x14ac:dyDescent="0.3">
      <c r="A911" s="6" t="s">
        <v>935</v>
      </c>
      <c r="B911" s="6" t="s">
        <v>16</v>
      </c>
      <c r="C911" s="7">
        <v>45561</v>
      </c>
      <c r="D911" s="6" t="s">
        <v>20</v>
      </c>
      <c r="E911" s="8">
        <v>72929</v>
      </c>
      <c r="F911" s="8">
        <v>38930</v>
      </c>
      <c r="G911" s="8">
        <v>1482</v>
      </c>
      <c r="H911" s="8">
        <v>471</v>
      </c>
      <c r="I911" s="8">
        <v>84</v>
      </c>
      <c r="J911" s="19">
        <f t="shared" si="20"/>
        <v>2.7931275624237271E-2</v>
      </c>
      <c r="K911" s="9">
        <v>5.23</v>
      </c>
      <c r="L911" s="10">
        <f t="shared" si="17"/>
        <v>2.7931275624237271E-2</v>
      </c>
    </row>
    <row r="912" spans="1:12" ht="14.25" customHeight="1" x14ac:dyDescent="0.3">
      <c r="A912" s="6" t="s">
        <v>936</v>
      </c>
      <c r="B912" s="6" t="s">
        <v>22</v>
      </c>
      <c r="C912" s="7">
        <v>45841</v>
      </c>
      <c r="D912" s="6" t="s">
        <v>23</v>
      </c>
      <c r="E912" s="8">
        <v>53676</v>
      </c>
      <c r="F912" s="8">
        <v>37463</v>
      </c>
      <c r="G912" s="8">
        <v>1490</v>
      </c>
      <c r="H912" s="8">
        <v>282</v>
      </c>
      <c r="I912" s="8">
        <v>1104</v>
      </c>
      <c r="J912" s="19">
        <f t="shared" si="20"/>
        <v>5.3580743721588789E-2</v>
      </c>
      <c r="K912" s="9">
        <v>7.68</v>
      </c>
      <c r="L912" s="10">
        <f t="shared" si="17"/>
        <v>5.3580743721588789E-2</v>
      </c>
    </row>
    <row r="913" spans="1:12" ht="14.25" customHeight="1" x14ac:dyDescent="0.3">
      <c r="A913" s="6" t="s">
        <v>937</v>
      </c>
      <c r="B913" s="6" t="s">
        <v>16</v>
      </c>
      <c r="C913" s="7">
        <v>45705</v>
      </c>
      <c r="D913" s="6" t="s">
        <v>20</v>
      </c>
      <c r="E913" s="8">
        <v>71115</v>
      </c>
      <c r="F913" s="8">
        <v>34108</v>
      </c>
      <c r="G913" s="8">
        <v>1168</v>
      </c>
      <c r="H913" s="8">
        <v>322</v>
      </c>
      <c r="I913" s="8">
        <v>214</v>
      </c>
      <c r="J913" s="19">
        <f t="shared" si="20"/>
        <v>2.3961189622442522E-2</v>
      </c>
      <c r="K913" s="9">
        <v>5</v>
      </c>
      <c r="L913" s="10">
        <f t="shared" si="17"/>
        <v>2.3961189622442522E-2</v>
      </c>
    </row>
    <row r="914" spans="1:12" ht="14.25" customHeight="1" x14ac:dyDescent="0.3">
      <c r="A914" s="6" t="s">
        <v>938</v>
      </c>
      <c r="B914" s="6" t="s">
        <v>22</v>
      </c>
      <c r="C914" s="7">
        <v>45977</v>
      </c>
      <c r="D914" s="6" t="s">
        <v>23</v>
      </c>
      <c r="E914" s="8">
        <v>37114</v>
      </c>
      <c r="F914" s="8">
        <v>21005</v>
      </c>
      <c r="G914" s="8">
        <v>2220</v>
      </c>
      <c r="H914" s="8">
        <v>571</v>
      </c>
      <c r="I914" s="8">
        <v>995</v>
      </c>
      <c r="J914" s="19">
        <f t="shared" si="20"/>
        <v>0.1020100231718489</v>
      </c>
      <c r="K914" s="9">
        <v>18.02</v>
      </c>
      <c r="L914" s="10">
        <f t="shared" si="17"/>
        <v>0.1020100231718489</v>
      </c>
    </row>
    <row r="915" spans="1:12" ht="14.25" customHeight="1" x14ac:dyDescent="0.3">
      <c r="A915" s="6" t="s">
        <v>939</v>
      </c>
      <c r="B915" s="6" t="s">
        <v>30</v>
      </c>
      <c r="C915" s="7">
        <v>45924</v>
      </c>
      <c r="D915" s="6" t="s">
        <v>14</v>
      </c>
      <c r="E915" s="8">
        <v>2081</v>
      </c>
      <c r="F915" s="8">
        <v>917</v>
      </c>
      <c r="G915" s="8">
        <v>37</v>
      </c>
      <c r="H915" s="8">
        <v>14</v>
      </c>
      <c r="I915" s="8">
        <v>8</v>
      </c>
      <c r="J915" s="19">
        <f t="shared" si="20"/>
        <v>2.8351753964440174E-2</v>
      </c>
      <c r="K915" s="9">
        <v>6.43</v>
      </c>
      <c r="L915" s="10">
        <f t="shared" si="17"/>
        <v>2.8351753964440174E-2</v>
      </c>
    </row>
    <row r="916" spans="1:12" ht="14.25" customHeight="1" x14ac:dyDescent="0.3">
      <c r="A916" s="6" t="s">
        <v>940</v>
      </c>
      <c r="B916" s="6" t="s">
        <v>19</v>
      </c>
      <c r="C916" s="7">
        <v>45310</v>
      </c>
      <c r="D916" s="6" t="s">
        <v>14</v>
      </c>
      <c r="E916" s="8">
        <v>1845</v>
      </c>
      <c r="F916" s="8">
        <v>1615</v>
      </c>
      <c r="G916" s="8">
        <v>38</v>
      </c>
      <c r="H916" s="8">
        <v>3</v>
      </c>
      <c r="I916" s="8">
        <v>8</v>
      </c>
      <c r="J916" s="19">
        <f t="shared" si="20"/>
        <v>2.6558265582655827E-2</v>
      </c>
      <c r="K916" s="9">
        <v>3.03</v>
      </c>
      <c r="L916" s="10">
        <f t="shared" si="17"/>
        <v>2.6558265582655827E-2</v>
      </c>
    </row>
    <row r="917" spans="1:12" ht="14.25" customHeight="1" x14ac:dyDescent="0.3">
      <c r="A917" s="6" t="s">
        <v>941</v>
      </c>
      <c r="B917" s="6" t="s">
        <v>19</v>
      </c>
      <c r="C917" s="7">
        <v>45555</v>
      </c>
      <c r="D917" s="6" t="s">
        <v>17</v>
      </c>
      <c r="E917" s="8">
        <v>4817</v>
      </c>
      <c r="F917" s="8">
        <v>3595</v>
      </c>
      <c r="G917" s="8">
        <v>106</v>
      </c>
      <c r="H917" s="8">
        <v>21</v>
      </c>
      <c r="I917" s="8">
        <v>32</v>
      </c>
      <c r="J917" s="19">
        <f t="shared" si="20"/>
        <v>3.3008096325513804E-2</v>
      </c>
      <c r="K917" s="9">
        <v>4.42</v>
      </c>
      <c r="L917" s="10">
        <f t="shared" si="17"/>
        <v>3.3008096325513804E-2</v>
      </c>
    </row>
    <row r="918" spans="1:12" ht="14.25" customHeight="1" x14ac:dyDescent="0.3">
      <c r="A918" s="6" t="s">
        <v>942</v>
      </c>
      <c r="B918" s="6" t="s">
        <v>22</v>
      </c>
      <c r="C918" s="7">
        <v>45571</v>
      </c>
      <c r="D918" s="6" t="s">
        <v>23</v>
      </c>
      <c r="E918" s="8">
        <v>128853</v>
      </c>
      <c r="F918" s="8">
        <v>68911</v>
      </c>
      <c r="G918" s="8">
        <v>7500</v>
      </c>
      <c r="H918" s="8">
        <v>596</v>
      </c>
      <c r="I918" s="8">
        <v>1685</v>
      </c>
      <c r="J918" s="19">
        <f t="shared" si="20"/>
        <v>7.5908205474455384E-2</v>
      </c>
      <c r="K918" s="9">
        <v>14.19</v>
      </c>
      <c r="L918" s="10">
        <f t="shared" si="17"/>
        <v>7.5908205474455384E-2</v>
      </c>
    </row>
    <row r="919" spans="1:12" ht="14.25" customHeight="1" x14ac:dyDescent="0.3">
      <c r="A919" s="6" t="s">
        <v>943</v>
      </c>
      <c r="B919" s="6" t="s">
        <v>16</v>
      </c>
      <c r="C919" s="7">
        <v>45737</v>
      </c>
      <c r="D919" s="6" t="s">
        <v>23</v>
      </c>
      <c r="E919" s="8">
        <v>57654</v>
      </c>
      <c r="F919" s="8">
        <v>26522</v>
      </c>
      <c r="G919" s="8">
        <v>1262</v>
      </c>
      <c r="H919" s="8">
        <v>79</v>
      </c>
      <c r="I919" s="8">
        <v>132</v>
      </c>
      <c r="J919" s="19">
        <f t="shared" si="20"/>
        <v>2.5548964512436257E-2</v>
      </c>
      <c r="K919" s="9">
        <v>5.55</v>
      </c>
      <c r="L919" s="10">
        <f t="shared" si="17"/>
        <v>2.5548964512436257E-2</v>
      </c>
    </row>
    <row r="920" spans="1:12" ht="14.25" customHeight="1" x14ac:dyDescent="0.3">
      <c r="A920" s="6" t="s">
        <v>944</v>
      </c>
      <c r="B920" s="6" t="s">
        <v>22</v>
      </c>
      <c r="C920" s="7">
        <v>45678</v>
      </c>
      <c r="D920" s="6" t="s">
        <v>23</v>
      </c>
      <c r="E920" s="8">
        <v>47053</v>
      </c>
      <c r="F920" s="8">
        <v>21925</v>
      </c>
      <c r="G920" s="8">
        <v>2027</v>
      </c>
      <c r="H920" s="8">
        <v>225</v>
      </c>
      <c r="I920" s="8">
        <v>1001</v>
      </c>
      <c r="J920" s="19">
        <f t="shared" si="20"/>
        <v>6.9134805432172236E-2</v>
      </c>
      <c r="K920" s="9">
        <v>14.84</v>
      </c>
      <c r="L920" s="10">
        <f t="shared" si="17"/>
        <v>6.9134805432172236E-2</v>
      </c>
    </row>
    <row r="921" spans="1:12" ht="14.25" customHeight="1" x14ac:dyDescent="0.3">
      <c r="A921" s="6" t="s">
        <v>945</v>
      </c>
      <c r="B921" s="6" t="s">
        <v>22</v>
      </c>
      <c r="C921" s="7">
        <v>45444</v>
      </c>
      <c r="D921" s="6" t="s">
        <v>23</v>
      </c>
      <c r="E921" s="8">
        <v>350053</v>
      </c>
      <c r="F921" s="8">
        <v>177316</v>
      </c>
      <c r="G921" s="8">
        <v>7347</v>
      </c>
      <c r="H921" s="8">
        <v>1039</v>
      </c>
      <c r="I921" s="8">
        <v>5092</v>
      </c>
      <c r="J921" s="19">
        <f t="shared" si="20"/>
        <v>3.850274101350367E-2</v>
      </c>
      <c r="K921" s="9">
        <v>7.6</v>
      </c>
      <c r="L921" s="10">
        <f t="shared" si="17"/>
        <v>3.850274101350367E-2</v>
      </c>
    </row>
    <row r="922" spans="1:12" ht="14.25" customHeight="1" x14ac:dyDescent="0.3">
      <c r="A922" s="6" t="s">
        <v>946</v>
      </c>
      <c r="B922" s="6" t="s">
        <v>22</v>
      </c>
      <c r="C922" s="7">
        <v>45764</v>
      </c>
      <c r="D922" s="6" t="s">
        <v>20</v>
      </c>
      <c r="E922" s="8">
        <v>129192</v>
      </c>
      <c r="F922" s="8">
        <v>60725</v>
      </c>
      <c r="G922" s="8">
        <v>2190</v>
      </c>
      <c r="H922" s="8">
        <v>1267</v>
      </c>
      <c r="I922" s="8">
        <v>758</v>
      </c>
      <c r="J922" s="19">
        <f t="shared" si="20"/>
        <v>3.2625859186327329E-2</v>
      </c>
      <c r="K922" s="9">
        <v>6.94</v>
      </c>
      <c r="L922" s="10">
        <f t="shared" si="17"/>
        <v>3.2625859186327329E-2</v>
      </c>
    </row>
    <row r="923" spans="1:12" ht="14.25" customHeight="1" x14ac:dyDescent="0.3">
      <c r="A923" s="6" t="s">
        <v>947</v>
      </c>
      <c r="B923" s="6" t="s">
        <v>22</v>
      </c>
      <c r="C923" s="7">
        <v>45607</v>
      </c>
      <c r="D923" s="6" t="s">
        <v>23</v>
      </c>
      <c r="E923" s="8">
        <v>289201</v>
      </c>
      <c r="F923" s="8">
        <v>117343</v>
      </c>
      <c r="G923" s="8">
        <v>8320</v>
      </c>
      <c r="H923" s="8">
        <v>2383</v>
      </c>
      <c r="I923" s="8">
        <v>1721</v>
      </c>
      <c r="J923" s="19">
        <f t="shared" si="20"/>
        <v>4.2959740803109256E-2</v>
      </c>
      <c r="K923" s="9">
        <v>10.59</v>
      </c>
      <c r="L923" s="10">
        <f t="shared" si="17"/>
        <v>4.2959740803109256E-2</v>
      </c>
    </row>
    <row r="924" spans="1:12" ht="14.25" customHeight="1" x14ac:dyDescent="0.3">
      <c r="A924" s="6" t="s">
        <v>948</v>
      </c>
      <c r="B924" s="6" t="s">
        <v>13</v>
      </c>
      <c r="C924" s="7">
        <v>45418</v>
      </c>
      <c r="D924" s="6" t="s">
        <v>20</v>
      </c>
      <c r="E924" s="8">
        <v>14173</v>
      </c>
      <c r="F924" s="8">
        <v>9631</v>
      </c>
      <c r="G924" s="8">
        <v>381</v>
      </c>
      <c r="H924" s="8">
        <v>172</v>
      </c>
      <c r="I924" s="8">
        <v>109</v>
      </c>
      <c r="J924" s="19">
        <f t="shared" si="20"/>
        <v>4.6708530304099341E-2</v>
      </c>
      <c r="K924" s="9">
        <v>6.87</v>
      </c>
      <c r="L924" s="10">
        <f t="shared" si="17"/>
        <v>4.6708530304099341E-2</v>
      </c>
    </row>
    <row r="925" spans="1:12" ht="14.25" customHeight="1" x14ac:dyDescent="0.3">
      <c r="A925" s="6" t="s">
        <v>949</v>
      </c>
      <c r="B925" s="6" t="s">
        <v>13</v>
      </c>
      <c r="C925" s="7">
        <v>45974</v>
      </c>
      <c r="D925" s="6" t="s">
        <v>25</v>
      </c>
      <c r="E925" s="8">
        <v>47814</v>
      </c>
      <c r="F925" s="8">
        <v>18972</v>
      </c>
      <c r="G925" s="8">
        <v>249</v>
      </c>
      <c r="H925" s="8">
        <v>259</v>
      </c>
      <c r="I925" s="8">
        <v>340</v>
      </c>
      <c r="J925" s="19">
        <f t="shared" si="20"/>
        <v>1.7735391307985109E-2</v>
      </c>
      <c r="K925" s="9">
        <v>4.47</v>
      </c>
      <c r="L925" s="10">
        <f t="shared" si="17"/>
        <v>1.7735391307985109E-2</v>
      </c>
    </row>
    <row r="926" spans="1:12" ht="14.25" customHeight="1" x14ac:dyDescent="0.3">
      <c r="A926" s="6" t="s">
        <v>950</v>
      </c>
      <c r="B926" s="6" t="s">
        <v>16</v>
      </c>
      <c r="C926" s="7">
        <v>45353</v>
      </c>
      <c r="D926" s="6" t="s">
        <v>23</v>
      </c>
      <c r="E926" s="8">
        <v>1353</v>
      </c>
      <c r="F926" s="8">
        <v>957</v>
      </c>
      <c r="G926" s="8">
        <v>72</v>
      </c>
      <c r="H926" s="8">
        <v>12</v>
      </c>
      <c r="I926" s="8">
        <v>8</v>
      </c>
      <c r="J926" s="19">
        <f t="shared" si="20"/>
        <v>6.7997043606799701E-2</v>
      </c>
      <c r="K926" s="9">
        <v>9.61</v>
      </c>
      <c r="L926" s="10">
        <f t="shared" si="17"/>
        <v>6.7997043606799701E-2</v>
      </c>
    </row>
    <row r="927" spans="1:12" ht="14.25" customHeight="1" x14ac:dyDescent="0.3">
      <c r="A927" s="6" t="s">
        <v>951</v>
      </c>
      <c r="B927" s="6" t="s">
        <v>30</v>
      </c>
      <c r="C927" s="7">
        <v>45972</v>
      </c>
      <c r="D927" s="6" t="s">
        <v>14</v>
      </c>
      <c r="E927" s="8">
        <v>16306</v>
      </c>
      <c r="F927" s="8">
        <v>11783</v>
      </c>
      <c r="G927" s="8">
        <v>533</v>
      </c>
      <c r="H927" s="8">
        <v>293</v>
      </c>
      <c r="I927" s="8">
        <v>166</v>
      </c>
      <c r="J927" s="19">
        <f t="shared" si="20"/>
        <v>6.0836501901140684E-2</v>
      </c>
      <c r="K927" s="9">
        <v>8.42</v>
      </c>
      <c r="L927" s="10">
        <f t="shared" si="17"/>
        <v>6.0836501901140684E-2</v>
      </c>
    </row>
    <row r="928" spans="1:12" ht="14.25" customHeight="1" x14ac:dyDescent="0.3">
      <c r="A928" s="6" t="s">
        <v>952</v>
      </c>
      <c r="B928" s="6" t="s">
        <v>16</v>
      </c>
      <c r="C928" s="7">
        <v>45833</v>
      </c>
      <c r="D928" s="6" t="s">
        <v>23</v>
      </c>
      <c r="E928" s="8">
        <v>69358</v>
      </c>
      <c r="F928" s="8">
        <v>34743</v>
      </c>
      <c r="G928" s="8">
        <v>749</v>
      </c>
      <c r="H928" s="8">
        <v>342</v>
      </c>
      <c r="I928" s="8">
        <v>49</v>
      </c>
      <c r="J928" s="19">
        <f t="shared" si="20"/>
        <v>1.6436460105539376E-2</v>
      </c>
      <c r="K928" s="9">
        <v>3.28</v>
      </c>
      <c r="L928" s="10">
        <f t="shared" si="17"/>
        <v>1.6436460105539376E-2</v>
      </c>
    </row>
    <row r="929" spans="1:12" ht="14.25" customHeight="1" x14ac:dyDescent="0.3">
      <c r="A929" s="6" t="s">
        <v>953</v>
      </c>
      <c r="B929" s="6" t="s">
        <v>13</v>
      </c>
      <c r="C929" s="7">
        <v>45727</v>
      </c>
      <c r="D929" s="6" t="s">
        <v>20</v>
      </c>
      <c r="E929" s="8">
        <v>39610</v>
      </c>
      <c r="F929" s="8">
        <v>15900</v>
      </c>
      <c r="G929" s="8">
        <v>721</v>
      </c>
      <c r="H929" s="8">
        <v>100</v>
      </c>
      <c r="I929" s="8">
        <v>172</v>
      </c>
      <c r="J929" s="19">
        <f t="shared" si="20"/>
        <v>2.5069426912395859E-2</v>
      </c>
      <c r="K929" s="9">
        <v>6.25</v>
      </c>
      <c r="L929" s="10">
        <f t="shared" si="17"/>
        <v>2.5069426912395859E-2</v>
      </c>
    </row>
    <row r="930" spans="1:12" ht="14.25" customHeight="1" x14ac:dyDescent="0.3">
      <c r="A930" s="6" t="s">
        <v>954</v>
      </c>
      <c r="B930" s="6" t="s">
        <v>16</v>
      </c>
      <c r="C930" s="7">
        <v>45420</v>
      </c>
      <c r="D930" s="6" t="s">
        <v>23</v>
      </c>
      <c r="E930" s="8">
        <v>47145</v>
      </c>
      <c r="F930" s="8">
        <v>34797</v>
      </c>
      <c r="G930" s="8">
        <v>806</v>
      </c>
      <c r="H930" s="8">
        <v>193</v>
      </c>
      <c r="I930" s="8">
        <v>185</v>
      </c>
      <c r="J930" s="19">
        <f t="shared" si="20"/>
        <v>2.5114009969243824E-2</v>
      </c>
      <c r="K930" s="9">
        <v>3.4</v>
      </c>
      <c r="L930" s="10">
        <f t="shared" si="17"/>
        <v>2.5114009969243824E-2</v>
      </c>
    </row>
    <row r="931" spans="1:12" ht="14.25" customHeight="1" x14ac:dyDescent="0.3">
      <c r="A931" s="6" t="s">
        <v>955</v>
      </c>
      <c r="B931" s="6" t="s">
        <v>30</v>
      </c>
      <c r="C931" s="7">
        <v>45735</v>
      </c>
      <c r="D931" s="6" t="s">
        <v>14</v>
      </c>
      <c r="E931" s="8">
        <v>1328</v>
      </c>
      <c r="F931" s="8">
        <v>886</v>
      </c>
      <c r="G931" s="8">
        <v>52</v>
      </c>
      <c r="H931" s="8">
        <v>18</v>
      </c>
      <c r="I931" s="8">
        <v>2</v>
      </c>
      <c r="J931" s="19">
        <f t="shared" si="20"/>
        <v>5.4216867469879519E-2</v>
      </c>
      <c r="K931" s="9">
        <v>8.1300000000000008</v>
      </c>
      <c r="L931" s="10">
        <f t="shared" si="17"/>
        <v>5.4216867469879519E-2</v>
      </c>
    </row>
    <row r="932" spans="1:12" ht="14.25" customHeight="1" x14ac:dyDescent="0.3">
      <c r="A932" s="6" t="s">
        <v>956</v>
      </c>
      <c r="B932" s="6" t="s">
        <v>13</v>
      </c>
      <c r="C932" s="7">
        <v>45690</v>
      </c>
      <c r="D932" s="6" t="s">
        <v>25</v>
      </c>
      <c r="E932" s="8">
        <v>44711</v>
      </c>
      <c r="F932" s="8">
        <v>29695</v>
      </c>
      <c r="G932" s="8">
        <v>1326</v>
      </c>
      <c r="H932" s="8">
        <v>363</v>
      </c>
      <c r="I932" s="8">
        <v>565</v>
      </c>
      <c r="J932" s="19">
        <f t="shared" si="20"/>
        <v>5.0412650130840286E-2</v>
      </c>
      <c r="K932" s="9">
        <v>7.59</v>
      </c>
      <c r="L932" s="10">
        <f t="shared" si="17"/>
        <v>5.0412650130840286E-2</v>
      </c>
    </row>
    <row r="933" spans="1:12" ht="14.25" customHeight="1" x14ac:dyDescent="0.3">
      <c r="A933" s="6" t="s">
        <v>957</v>
      </c>
      <c r="B933" s="6" t="s">
        <v>13</v>
      </c>
      <c r="C933" s="7">
        <v>45972</v>
      </c>
      <c r="D933" s="6" t="s">
        <v>25</v>
      </c>
      <c r="E933" s="8">
        <v>9790</v>
      </c>
      <c r="F933" s="8">
        <v>4339</v>
      </c>
      <c r="G933" s="8">
        <v>208</v>
      </c>
      <c r="H933" s="8">
        <v>50</v>
      </c>
      <c r="I933" s="8">
        <v>31</v>
      </c>
      <c r="J933" s="19">
        <f t="shared" si="20"/>
        <v>2.9519918283963227E-2</v>
      </c>
      <c r="K933" s="9">
        <v>6.66</v>
      </c>
      <c r="L933" s="10">
        <f t="shared" si="17"/>
        <v>2.9519918283963227E-2</v>
      </c>
    </row>
    <row r="934" spans="1:12" ht="14.25" customHeight="1" x14ac:dyDescent="0.3">
      <c r="A934" s="6" t="s">
        <v>958</v>
      </c>
      <c r="B934" s="6" t="s">
        <v>16</v>
      </c>
      <c r="C934" s="7">
        <v>45940</v>
      </c>
      <c r="D934" s="6" t="s">
        <v>23</v>
      </c>
      <c r="E934" s="8">
        <v>82927</v>
      </c>
      <c r="F934" s="8">
        <v>48095</v>
      </c>
      <c r="G934" s="8">
        <v>2222</v>
      </c>
      <c r="H934" s="8">
        <v>323</v>
      </c>
      <c r="I934" s="8">
        <v>426</v>
      </c>
      <c r="J934" s="19">
        <f t="shared" si="20"/>
        <v>3.5826690945048055E-2</v>
      </c>
      <c r="K934" s="9">
        <v>6.18</v>
      </c>
      <c r="L934" s="10">
        <f t="shared" si="17"/>
        <v>3.5826690945048055E-2</v>
      </c>
    </row>
    <row r="935" spans="1:12" ht="14.25" customHeight="1" x14ac:dyDescent="0.3">
      <c r="A935" s="6" t="s">
        <v>959</v>
      </c>
      <c r="B935" s="6" t="s">
        <v>16</v>
      </c>
      <c r="C935" s="7">
        <v>45902</v>
      </c>
      <c r="D935" s="6" t="s">
        <v>20</v>
      </c>
      <c r="E935" s="8">
        <v>68786</v>
      </c>
      <c r="F935" s="8">
        <v>52234</v>
      </c>
      <c r="G935" s="8">
        <v>2949</v>
      </c>
      <c r="H935" s="8">
        <v>388</v>
      </c>
      <c r="I935" s="8">
        <v>204</v>
      </c>
      <c r="J935" s="19">
        <f t="shared" si="20"/>
        <v>5.1478498531677956E-2</v>
      </c>
      <c r="K935" s="9">
        <v>6.78</v>
      </c>
      <c r="L935" s="10">
        <f t="shared" si="17"/>
        <v>5.1478498531677956E-2</v>
      </c>
    </row>
    <row r="936" spans="1:12" ht="14.25" customHeight="1" x14ac:dyDescent="0.3">
      <c r="A936" s="6" t="s">
        <v>960</v>
      </c>
      <c r="B936" s="6" t="s">
        <v>16</v>
      </c>
      <c r="C936" s="7">
        <v>45616</v>
      </c>
      <c r="D936" s="6" t="s">
        <v>20</v>
      </c>
      <c r="E936" s="8">
        <v>79894</v>
      </c>
      <c r="F936" s="8">
        <v>44755</v>
      </c>
      <c r="G936" s="8">
        <v>2566</v>
      </c>
      <c r="H936" s="8">
        <v>422</v>
      </c>
      <c r="I936" s="8">
        <v>338</v>
      </c>
      <c r="J936" s="19">
        <f t="shared" si="20"/>
        <v>4.1630159961949582E-2</v>
      </c>
      <c r="K936" s="9">
        <v>7.43</v>
      </c>
      <c r="L936" s="10">
        <f t="shared" si="17"/>
        <v>4.1630159961949582E-2</v>
      </c>
    </row>
    <row r="937" spans="1:12" ht="14.25" customHeight="1" x14ac:dyDescent="0.3">
      <c r="A937" s="6" t="s">
        <v>961</v>
      </c>
      <c r="B937" s="6" t="s">
        <v>22</v>
      </c>
      <c r="C937" s="7">
        <v>45446</v>
      </c>
      <c r="D937" s="6" t="s">
        <v>20</v>
      </c>
      <c r="E937" s="8">
        <v>373146</v>
      </c>
      <c r="F937" s="8">
        <v>195558</v>
      </c>
      <c r="G937" s="8">
        <v>12870</v>
      </c>
      <c r="H937" s="8">
        <v>1644</v>
      </c>
      <c r="I937" s="8">
        <v>4133</v>
      </c>
      <c r="J937" s="19">
        <f t="shared" si="20"/>
        <v>4.9972396863426111E-2</v>
      </c>
      <c r="K937" s="9">
        <v>9.5399999999999991</v>
      </c>
      <c r="L937" s="10">
        <f t="shared" si="17"/>
        <v>4.9972396863426111E-2</v>
      </c>
    </row>
    <row r="938" spans="1:12" ht="14.25" customHeight="1" x14ac:dyDescent="0.3">
      <c r="A938" s="6" t="s">
        <v>962</v>
      </c>
      <c r="B938" s="6" t="s">
        <v>13</v>
      </c>
      <c r="C938" s="7">
        <v>45745</v>
      </c>
      <c r="D938" s="6" t="s">
        <v>14</v>
      </c>
      <c r="E938" s="8">
        <v>28164</v>
      </c>
      <c r="F938" s="8">
        <v>11721</v>
      </c>
      <c r="G938" s="8">
        <v>495</v>
      </c>
      <c r="H938" s="8">
        <v>54</v>
      </c>
      <c r="I938" s="8">
        <v>246</v>
      </c>
      <c r="J938" s="19">
        <f t="shared" si="20"/>
        <v>2.8227524499360886E-2</v>
      </c>
      <c r="K938" s="9">
        <v>6.78</v>
      </c>
      <c r="L938" s="10">
        <f t="shared" si="17"/>
        <v>2.8227524499360886E-2</v>
      </c>
    </row>
    <row r="939" spans="1:12" ht="14.25" customHeight="1" x14ac:dyDescent="0.3">
      <c r="A939" s="6" t="s">
        <v>963</v>
      </c>
      <c r="B939" s="6" t="s">
        <v>30</v>
      </c>
      <c r="C939" s="7">
        <v>45374</v>
      </c>
      <c r="D939" s="6" t="s">
        <v>14</v>
      </c>
      <c r="E939" s="8">
        <v>4663</v>
      </c>
      <c r="F939" s="8">
        <v>2579</v>
      </c>
      <c r="G939" s="8">
        <v>57</v>
      </c>
      <c r="H939" s="8">
        <v>29</v>
      </c>
      <c r="I939" s="8">
        <v>20</v>
      </c>
      <c r="J939" s="19">
        <f t="shared" si="20"/>
        <v>2.2732146686682393E-2</v>
      </c>
      <c r="K939" s="9">
        <v>4.1100000000000003</v>
      </c>
      <c r="L939" s="10">
        <f t="shared" si="17"/>
        <v>2.2732146686682393E-2</v>
      </c>
    </row>
    <row r="940" spans="1:12" ht="14.25" customHeight="1" x14ac:dyDescent="0.3">
      <c r="A940" s="6" t="s">
        <v>964</v>
      </c>
      <c r="B940" s="6" t="s">
        <v>16</v>
      </c>
      <c r="C940" s="7">
        <v>45352</v>
      </c>
      <c r="D940" s="6" t="s">
        <v>20</v>
      </c>
      <c r="E940" s="8">
        <v>23546</v>
      </c>
      <c r="F940" s="8">
        <v>14843</v>
      </c>
      <c r="G940" s="8">
        <v>798</v>
      </c>
      <c r="H940" s="8">
        <v>102</v>
      </c>
      <c r="I940" s="8">
        <v>32</v>
      </c>
      <c r="J940" s="19">
        <f t="shared" si="20"/>
        <v>3.9582094623290577E-2</v>
      </c>
      <c r="K940" s="9">
        <v>6.28</v>
      </c>
      <c r="L940" s="10">
        <f t="shared" si="17"/>
        <v>3.9582094623290577E-2</v>
      </c>
    </row>
    <row r="941" spans="1:12" ht="14.25" customHeight="1" x14ac:dyDescent="0.3">
      <c r="A941" s="6" t="s">
        <v>965</v>
      </c>
      <c r="B941" s="6" t="s">
        <v>13</v>
      </c>
      <c r="C941" s="7">
        <v>45450</v>
      </c>
      <c r="D941" s="6" t="s">
        <v>17</v>
      </c>
      <c r="E941" s="8">
        <v>9924</v>
      </c>
      <c r="F941" s="8">
        <v>6406</v>
      </c>
      <c r="G941" s="8">
        <v>92</v>
      </c>
      <c r="H941" s="8">
        <v>42</v>
      </c>
      <c r="I941" s="8">
        <v>147</v>
      </c>
      <c r="J941" s="19">
        <f t="shared" si="20"/>
        <v>2.8315195485691252E-2</v>
      </c>
      <c r="K941" s="9">
        <v>4.3899999999999997</v>
      </c>
      <c r="L941" s="10">
        <f t="shared" si="17"/>
        <v>2.8315195485691252E-2</v>
      </c>
    </row>
    <row r="942" spans="1:12" ht="14.25" customHeight="1" x14ac:dyDescent="0.3">
      <c r="A942" s="6" t="s">
        <v>966</v>
      </c>
      <c r="B942" s="6" t="s">
        <v>22</v>
      </c>
      <c r="C942" s="7">
        <v>45974</v>
      </c>
      <c r="D942" s="6" t="s">
        <v>20</v>
      </c>
      <c r="E942" s="8">
        <v>39904</v>
      </c>
      <c r="F942" s="8">
        <v>19181</v>
      </c>
      <c r="G942" s="8">
        <v>2144</v>
      </c>
      <c r="H942" s="8">
        <v>430</v>
      </c>
      <c r="I942" s="8">
        <v>436</v>
      </c>
      <c r="J942" s="19">
        <f t="shared" si="20"/>
        <v>7.5431034482758619E-2</v>
      </c>
      <c r="K942" s="9">
        <v>15.69</v>
      </c>
      <c r="L942" s="10">
        <f t="shared" si="17"/>
        <v>7.5431034482758619E-2</v>
      </c>
    </row>
    <row r="943" spans="1:12" ht="14.25" customHeight="1" x14ac:dyDescent="0.3">
      <c r="A943" s="6" t="s">
        <v>967</v>
      </c>
      <c r="B943" s="6" t="s">
        <v>13</v>
      </c>
      <c r="C943" s="7">
        <v>45532</v>
      </c>
      <c r="D943" s="6" t="s">
        <v>20</v>
      </c>
      <c r="E943" s="8">
        <v>22877</v>
      </c>
      <c r="F943" s="8">
        <v>9782</v>
      </c>
      <c r="G943" s="8">
        <v>128</v>
      </c>
      <c r="H943" s="8">
        <v>195</v>
      </c>
      <c r="I943" s="8">
        <v>169</v>
      </c>
      <c r="J943" s="19">
        <f t="shared" si="20"/>
        <v>2.1506316387638238E-2</v>
      </c>
      <c r="K943" s="9">
        <v>5.03</v>
      </c>
      <c r="L943" s="10">
        <f t="shared" si="17"/>
        <v>2.1506316387638238E-2</v>
      </c>
    </row>
    <row r="944" spans="1:12" ht="14.25" customHeight="1" x14ac:dyDescent="0.3">
      <c r="A944" s="6" t="s">
        <v>968</v>
      </c>
      <c r="B944" s="6" t="s">
        <v>22</v>
      </c>
      <c r="C944" s="7">
        <v>45854</v>
      </c>
      <c r="D944" s="6" t="s">
        <v>20</v>
      </c>
      <c r="E944" s="8">
        <v>252248</v>
      </c>
      <c r="F944" s="8">
        <v>168800</v>
      </c>
      <c r="G944" s="8">
        <v>9359</v>
      </c>
      <c r="H944" s="8">
        <v>2215</v>
      </c>
      <c r="I944" s="8">
        <v>2569</v>
      </c>
      <c r="J944" s="19">
        <f t="shared" si="20"/>
        <v>5.6067838000697728E-2</v>
      </c>
      <c r="K944" s="9">
        <v>8.3800000000000008</v>
      </c>
      <c r="L944" s="10">
        <f t="shared" si="17"/>
        <v>5.6067838000697728E-2</v>
      </c>
    </row>
    <row r="945" spans="1:12" ht="14.25" customHeight="1" x14ac:dyDescent="0.3">
      <c r="A945" s="6" t="s">
        <v>969</v>
      </c>
      <c r="B945" s="6" t="s">
        <v>19</v>
      </c>
      <c r="C945" s="7">
        <v>45605</v>
      </c>
      <c r="D945" s="6" t="s">
        <v>17</v>
      </c>
      <c r="E945" s="8">
        <v>16226</v>
      </c>
      <c r="F945" s="8">
        <v>13962</v>
      </c>
      <c r="G945" s="8">
        <v>281</v>
      </c>
      <c r="H945" s="8">
        <v>89</v>
      </c>
      <c r="I945" s="8">
        <v>44</v>
      </c>
      <c r="J945" s="19">
        <f t="shared" si="20"/>
        <v>2.5514606187600149E-2</v>
      </c>
      <c r="K945" s="9">
        <v>2.97</v>
      </c>
      <c r="L945" s="10">
        <f t="shared" si="17"/>
        <v>2.5514606187600149E-2</v>
      </c>
    </row>
    <row r="946" spans="1:12" ht="14.25" customHeight="1" x14ac:dyDescent="0.3">
      <c r="A946" s="6" t="s">
        <v>970</v>
      </c>
      <c r="B946" s="6" t="s">
        <v>30</v>
      </c>
      <c r="C946" s="7">
        <v>45788</v>
      </c>
      <c r="D946" s="6" t="s">
        <v>14</v>
      </c>
      <c r="E946" s="8">
        <v>5362</v>
      </c>
      <c r="F946" s="8">
        <v>3547</v>
      </c>
      <c r="G946" s="8">
        <v>98</v>
      </c>
      <c r="H946" s="8">
        <v>26</v>
      </c>
      <c r="I946" s="8">
        <v>27</v>
      </c>
      <c r="J946" s="19">
        <f t="shared" si="20"/>
        <v>2.816113390525923E-2</v>
      </c>
      <c r="K946" s="9">
        <v>4.26</v>
      </c>
      <c r="L946" s="10">
        <f t="shared" si="17"/>
        <v>2.816113390525923E-2</v>
      </c>
    </row>
    <row r="947" spans="1:12" ht="14.25" customHeight="1" x14ac:dyDescent="0.3">
      <c r="A947" s="6" t="s">
        <v>971</v>
      </c>
      <c r="B947" s="6" t="s">
        <v>13</v>
      </c>
      <c r="C947" s="7">
        <v>45900</v>
      </c>
      <c r="D947" s="6" t="s">
        <v>25</v>
      </c>
      <c r="E947" s="8">
        <v>43568</v>
      </c>
      <c r="F947" s="8">
        <v>28301</v>
      </c>
      <c r="G947" s="8">
        <v>1119</v>
      </c>
      <c r="H947" s="8">
        <v>376</v>
      </c>
      <c r="I947" s="8">
        <v>362</v>
      </c>
      <c r="J947" s="19">
        <f t="shared" si="20"/>
        <v>4.2623026074182883E-2</v>
      </c>
      <c r="K947" s="9">
        <v>6.56</v>
      </c>
      <c r="L947" s="10">
        <f t="shared" si="17"/>
        <v>4.2623026074182883E-2</v>
      </c>
    </row>
    <row r="948" spans="1:12" ht="14.25" customHeight="1" x14ac:dyDescent="0.3">
      <c r="A948" s="6" t="s">
        <v>972</v>
      </c>
      <c r="B948" s="6" t="s">
        <v>30</v>
      </c>
      <c r="C948" s="7">
        <v>45373</v>
      </c>
      <c r="D948" s="6" t="s">
        <v>20</v>
      </c>
      <c r="E948" s="8">
        <v>7280</v>
      </c>
      <c r="F948" s="8">
        <v>3066</v>
      </c>
      <c r="G948" s="8">
        <v>61</v>
      </c>
      <c r="H948" s="8">
        <v>73</v>
      </c>
      <c r="I948" s="8">
        <v>23</v>
      </c>
      <c r="J948" s="19">
        <f t="shared" si="20"/>
        <v>2.1565934065934066E-2</v>
      </c>
      <c r="K948" s="9">
        <v>5.12</v>
      </c>
      <c r="L948" s="10">
        <f t="shared" si="17"/>
        <v>2.1565934065934066E-2</v>
      </c>
    </row>
    <row r="949" spans="1:12" ht="14.25" customHeight="1" x14ac:dyDescent="0.3">
      <c r="A949" s="6" t="s">
        <v>973</v>
      </c>
      <c r="B949" s="6" t="s">
        <v>19</v>
      </c>
      <c r="C949" s="7">
        <v>45659</v>
      </c>
      <c r="D949" s="6" t="s">
        <v>14</v>
      </c>
      <c r="E949" s="8">
        <v>10413</v>
      </c>
      <c r="F949" s="8">
        <v>8906</v>
      </c>
      <c r="G949" s="8">
        <v>137</v>
      </c>
      <c r="H949" s="8">
        <v>39</v>
      </c>
      <c r="I949" s="8">
        <v>24</v>
      </c>
      <c r="J949" s="19">
        <f t="shared" si="20"/>
        <v>1.9206760779794489E-2</v>
      </c>
      <c r="K949" s="9">
        <v>2.25</v>
      </c>
      <c r="L949" s="10">
        <f t="shared" si="17"/>
        <v>1.9206760779794489E-2</v>
      </c>
    </row>
    <row r="950" spans="1:12" ht="14.25" customHeight="1" x14ac:dyDescent="0.3">
      <c r="A950" s="6" t="s">
        <v>974</v>
      </c>
      <c r="B950" s="6" t="s">
        <v>16</v>
      </c>
      <c r="C950" s="7">
        <v>45374</v>
      </c>
      <c r="D950" s="6" t="s">
        <v>20</v>
      </c>
      <c r="E950" s="8">
        <v>15038</v>
      </c>
      <c r="F950" s="8">
        <v>8320</v>
      </c>
      <c r="G950" s="8">
        <v>337</v>
      </c>
      <c r="H950" s="8">
        <v>96</v>
      </c>
      <c r="I950" s="8">
        <v>53</v>
      </c>
      <c r="J950" s="19">
        <f t="shared" si="20"/>
        <v>3.2318127410559915E-2</v>
      </c>
      <c r="K950" s="9">
        <v>5.84</v>
      </c>
      <c r="L950" s="10">
        <f t="shared" si="17"/>
        <v>3.2318127410559915E-2</v>
      </c>
    </row>
    <row r="951" spans="1:12" ht="14.25" customHeight="1" x14ac:dyDescent="0.3">
      <c r="A951" s="6" t="s">
        <v>975</v>
      </c>
      <c r="B951" s="6" t="s">
        <v>22</v>
      </c>
      <c r="C951" s="7">
        <v>45900</v>
      </c>
      <c r="D951" s="6" t="s">
        <v>23</v>
      </c>
      <c r="E951" s="8">
        <v>245722</v>
      </c>
      <c r="F951" s="8">
        <v>96249</v>
      </c>
      <c r="G951" s="8">
        <v>10979</v>
      </c>
      <c r="H951" s="8">
        <v>1999</v>
      </c>
      <c r="I951" s="8">
        <v>4264</v>
      </c>
      <c r="J951" s="19">
        <f t="shared" si="20"/>
        <v>7.0168727260888325E-2</v>
      </c>
      <c r="K951" s="9">
        <v>17.91</v>
      </c>
      <c r="L951" s="10">
        <f t="shared" si="17"/>
        <v>7.0168727260888325E-2</v>
      </c>
    </row>
    <row r="952" spans="1:12" ht="14.25" customHeight="1" x14ac:dyDescent="0.3">
      <c r="A952" s="6" t="s">
        <v>976</v>
      </c>
      <c r="B952" s="6" t="s">
        <v>19</v>
      </c>
      <c r="C952" s="7">
        <v>45528</v>
      </c>
      <c r="D952" s="6" t="s">
        <v>14</v>
      </c>
      <c r="E952" s="8">
        <v>11451</v>
      </c>
      <c r="F952" s="8">
        <v>5857</v>
      </c>
      <c r="G952" s="8">
        <v>49</v>
      </c>
      <c r="H952" s="8">
        <v>26</v>
      </c>
      <c r="I952" s="8">
        <v>61</v>
      </c>
      <c r="J952" s="19">
        <f t="shared" si="20"/>
        <v>1.1876691991965766E-2</v>
      </c>
      <c r="K952" s="9">
        <v>2.3199999999999998</v>
      </c>
      <c r="L952" s="10">
        <f t="shared" si="17"/>
        <v>1.1876691991965766E-2</v>
      </c>
    </row>
    <row r="953" spans="1:12" ht="14.25" customHeight="1" x14ac:dyDescent="0.3">
      <c r="A953" s="6" t="s">
        <v>977</v>
      </c>
      <c r="B953" s="6" t="s">
        <v>13</v>
      </c>
      <c r="C953" s="7">
        <v>45590</v>
      </c>
      <c r="D953" s="6" t="s">
        <v>17</v>
      </c>
      <c r="E953" s="8">
        <v>5966</v>
      </c>
      <c r="F953" s="8">
        <v>3019</v>
      </c>
      <c r="G953" s="8">
        <v>50</v>
      </c>
      <c r="H953" s="8">
        <v>58</v>
      </c>
      <c r="I953" s="8">
        <v>27</v>
      </c>
      <c r="J953" s="19">
        <f t="shared" si="20"/>
        <v>2.2628226617499161E-2</v>
      </c>
      <c r="K953" s="9">
        <v>4.47</v>
      </c>
      <c r="L953" s="10">
        <f t="shared" si="17"/>
        <v>2.2628226617499161E-2</v>
      </c>
    </row>
    <row r="954" spans="1:12" ht="14.25" customHeight="1" x14ac:dyDescent="0.3">
      <c r="A954" s="6" t="s">
        <v>978</v>
      </c>
      <c r="B954" s="6" t="s">
        <v>30</v>
      </c>
      <c r="C954" s="7">
        <v>45853</v>
      </c>
      <c r="D954" s="6" t="s">
        <v>20</v>
      </c>
      <c r="E954" s="8">
        <v>47465</v>
      </c>
      <c r="F954" s="8">
        <v>37269</v>
      </c>
      <c r="G954" s="8">
        <v>1872</v>
      </c>
      <c r="H954" s="8">
        <v>551</v>
      </c>
      <c r="I954" s="8">
        <v>334</v>
      </c>
      <c r="J954" s="19">
        <f t="shared" si="20"/>
        <v>5.8084904666596437E-2</v>
      </c>
      <c r="K954" s="9">
        <v>7.4</v>
      </c>
      <c r="L954" s="10">
        <f t="shared" si="17"/>
        <v>5.8084904666596437E-2</v>
      </c>
    </row>
    <row r="955" spans="1:12" ht="14.25" customHeight="1" x14ac:dyDescent="0.3">
      <c r="A955" s="6" t="s">
        <v>979</v>
      </c>
      <c r="B955" s="6" t="s">
        <v>19</v>
      </c>
      <c r="C955" s="7">
        <v>45575</v>
      </c>
      <c r="D955" s="6" t="s">
        <v>20</v>
      </c>
      <c r="E955" s="8">
        <v>746</v>
      </c>
      <c r="F955" s="8">
        <v>392</v>
      </c>
      <c r="G955" s="8">
        <v>6</v>
      </c>
      <c r="H955" s="8">
        <v>0</v>
      </c>
      <c r="I955" s="8">
        <v>3</v>
      </c>
      <c r="J955" s="19">
        <f t="shared" si="20"/>
        <v>1.2064343163538873E-2</v>
      </c>
      <c r="K955" s="9">
        <v>2.2999999999999998</v>
      </c>
      <c r="L955" s="10">
        <f t="shared" si="17"/>
        <v>1.2064343163538873E-2</v>
      </c>
    </row>
    <row r="956" spans="1:12" ht="14.25" customHeight="1" x14ac:dyDescent="0.3">
      <c r="A956" s="6" t="s">
        <v>980</v>
      </c>
      <c r="B956" s="6" t="s">
        <v>16</v>
      </c>
      <c r="C956" s="7">
        <v>45403</v>
      </c>
      <c r="D956" s="6" t="s">
        <v>23</v>
      </c>
      <c r="E956" s="8">
        <v>49179</v>
      </c>
      <c r="F956" s="8">
        <v>19677</v>
      </c>
      <c r="G956" s="8">
        <v>1531</v>
      </c>
      <c r="H956" s="8">
        <v>57</v>
      </c>
      <c r="I956" s="8">
        <v>42</v>
      </c>
      <c r="J956" s="19">
        <f t="shared" si="20"/>
        <v>3.3144228227495479E-2</v>
      </c>
      <c r="K956" s="9">
        <v>8.2799999999999994</v>
      </c>
      <c r="L956" s="10">
        <f t="shared" si="17"/>
        <v>3.3144228227495479E-2</v>
      </c>
    </row>
    <row r="957" spans="1:12" ht="14.25" customHeight="1" x14ac:dyDescent="0.3">
      <c r="A957" s="6" t="s">
        <v>981</v>
      </c>
      <c r="B957" s="6" t="s">
        <v>13</v>
      </c>
      <c r="C957" s="7">
        <v>45436</v>
      </c>
      <c r="D957" s="6" t="s">
        <v>14</v>
      </c>
      <c r="E957" s="8">
        <v>6392</v>
      </c>
      <c r="F957" s="8">
        <v>2878</v>
      </c>
      <c r="G957" s="8">
        <v>100</v>
      </c>
      <c r="H957" s="8">
        <v>41</v>
      </c>
      <c r="I957" s="8">
        <v>60</v>
      </c>
      <c r="J957" s="19">
        <f t="shared" si="20"/>
        <v>3.1445556946182729E-2</v>
      </c>
      <c r="K957" s="9">
        <v>6.98</v>
      </c>
      <c r="L957" s="10">
        <f t="shared" si="17"/>
        <v>3.1445556946182729E-2</v>
      </c>
    </row>
    <row r="958" spans="1:12" ht="14.25" customHeight="1" x14ac:dyDescent="0.3">
      <c r="A958" s="6" t="s">
        <v>982</v>
      </c>
      <c r="B958" s="6" t="s">
        <v>30</v>
      </c>
      <c r="C958" s="7">
        <v>45451</v>
      </c>
      <c r="D958" s="6" t="s">
        <v>17</v>
      </c>
      <c r="E958" s="8">
        <v>13214</v>
      </c>
      <c r="F958" s="8">
        <v>9289</v>
      </c>
      <c r="G958" s="8">
        <v>463</v>
      </c>
      <c r="H958" s="8">
        <v>159</v>
      </c>
      <c r="I958" s="8">
        <v>137</v>
      </c>
      <c r="J958" s="19">
        <f t="shared" si="20"/>
        <v>5.7439079763886784E-2</v>
      </c>
      <c r="K958" s="9">
        <v>8.17</v>
      </c>
      <c r="L958" s="10">
        <f t="shared" si="17"/>
        <v>5.7439079763886784E-2</v>
      </c>
    </row>
    <row r="959" spans="1:12" ht="14.25" customHeight="1" x14ac:dyDescent="0.3">
      <c r="A959" s="6" t="s">
        <v>983</v>
      </c>
      <c r="B959" s="6" t="s">
        <v>22</v>
      </c>
      <c r="C959" s="7">
        <v>45722</v>
      </c>
      <c r="D959" s="6" t="s">
        <v>20</v>
      </c>
      <c r="E959" s="8">
        <v>273634</v>
      </c>
      <c r="F959" s="8">
        <v>133368</v>
      </c>
      <c r="G959" s="8">
        <v>9781</v>
      </c>
      <c r="H959" s="8">
        <v>3873</v>
      </c>
      <c r="I959" s="8">
        <v>5187</v>
      </c>
      <c r="J959" s="19">
        <f t="shared" si="20"/>
        <v>6.8854747582537262E-2</v>
      </c>
      <c r="K959" s="9">
        <v>14.13</v>
      </c>
      <c r="L959" s="10">
        <f t="shared" si="17"/>
        <v>6.8854747582537262E-2</v>
      </c>
    </row>
    <row r="960" spans="1:12" ht="14.25" customHeight="1" x14ac:dyDescent="0.3">
      <c r="A960" s="6" t="s">
        <v>984</v>
      </c>
      <c r="B960" s="6" t="s">
        <v>19</v>
      </c>
      <c r="C960" s="7">
        <v>45649</v>
      </c>
      <c r="D960" s="6" t="s">
        <v>17</v>
      </c>
      <c r="E960" s="8">
        <v>7961</v>
      </c>
      <c r="F960" s="8">
        <v>6392</v>
      </c>
      <c r="G960" s="8">
        <v>73</v>
      </c>
      <c r="H960" s="8">
        <v>7</v>
      </c>
      <c r="I960" s="8">
        <v>101</v>
      </c>
      <c r="J960" s="19">
        <f t="shared" si="20"/>
        <v>2.2735837206381108E-2</v>
      </c>
      <c r="K960" s="9">
        <v>2.83</v>
      </c>
      <c r="L960" s="10">
        <f t="shared" si="17"/>
        <v>2.2735837206381108E-2</v>
      </c>
    </row>
    <row r="961" spans="1:12" ht="14.25" customHeight="1" x14ac:dyDescent="0.3">
      <c r="A961" s="6" t="s">
        <v>985</v>
      </c>
      <c r="B961" s="6" t="s">
        <v>16</v>
      </c>
      <c r="C961" s="7">
        <v>45297</v>
      </c>
      <c r="D961" s="6" t="s">
        <v>20</v>
      </c>
      <c r="E961" s="8">
        <v>12719</v>
      </c>
      <c r="F961" s="8">
        <v>5518</v>
      </c>
      <c r="G961" s="8">
        <v>325</v>
      </c>
      <c r="H961" s="8">
        <v>40</v>
      </c>
      <c r="I961" s="8">
        <v>21</v>
      </c>
      <c r="J961" s="19">
        <f t="shared" si="20"/>
        <v>3.0348297822155829E-2</v>
      </c>
      <c r="K961" s="9">
        <v>7</v>
      </c>
      <c r="L961" s="10">
        <f t="shared" si="17"/>
        <v>3.0348297822155829E-2</v>
      </c>
    </row>
    <row r="962" spans="1:12" ht="14.25" customHeight="1" x14ac:dyDescent="0.3">
      <c r="A962" s="6" t="s">
        <v>986</v>
      </c>
      <c r="B962" s="6" t="s">
        <v>16</v>
      </c>
      <c r="C962" s="7">
        <v>45475</v>
      </c>
      <c r="D962" s="6" t="s">
        <v>17</v>
      </c>
      <c r="E962" s="8">
        <v>21544</v>
      </c>
      <c r="F962" s="8">
        <v>13950</v>
      </c>
      <c r="G962" s="8">
        <v>297</v>
      </c>
      <c r="H962" s="8">
        <v>111</v>
      </c>
      <c r="I962" s="8">
        <v>107</v>
      </c>
      <c r="J962" s="19">
        <f t="shared" si="20"/>
        <v>2.3904567396955068E-2</v>
      </c>
      <c r="K962" s="9">
        <v>3.69</v>
      </c>
      <c r="L962" s="10">
        <f t="shared" si="17"/>
        <v>2.3904567396955068E-2</v>
      </c>
    </row>
    <row r="963" spans="1:12" ht="14.25" customHeight="1" x14ac:dyDescent="0.3">
      <c r="A963" s="6" t="s">
        <v>987</v>
      </c>
      <c r="B963" s="6" t="s">
        <v>16</v>
      </c>
      <c r="C963" s="7">
        <v>45946</v>
      </c>
      <c r="D963" s="6" t="s">
        <v>20</v>
      </c>
      <c r="E963" s="8">
        <v>99969</v>
      </c>
      <c r="F963" s="8">
        <v>42551</v>
      </c>
      <c r="G963" s="8">
        <v>1344</v>
      </c>
      <c r="H963" s="8">
        <v>311</v>
      </c>
      <c r="I963" s="8">
        <v>284</v>
      </c>
      <c r="J963" s="19">
        <f t="shared" ref="J963:J1001" si="21">(G963+H963+I963)/E963</f>
        <v>1.9396012763956826E-2</v>
      </c>
      <c r="K963" s="9">
        <v>4.5599999999999996</v>
      </c>
      <c r="L963" s="10">
        <f t="shared" si="17"/>
        <v>1.9396012763956826E-2</v>
      </c>
    </row>
    <row r="964" spans="1:12" ht="14.25" customHeight="1" x14ac:dyDescent="0.3">
      <c r="A964" s="6" t="s">
        <v>988</v>
      </c>
      <c r="B964" s="6" t="s">
        <v>22</v>
      </c>
      <c r="C964" s="7">
        <v>45578</v>
      </c>
      <c r="D964" s="6" t="s">
        <v>23</v>
      </c>
      <c r="E964" s="8">
        <v>277010</v>
      </c>
      <c r="F964" s="8">
        <v>138818</v>
      </c>
      <c r="G964" s="8">
        <v>5929</v>
      </c>
      <c r="H964" s="8">
        <v>4065</v>
      </c>
      <c r="I964" s="8">
        <v>5079</v>
      </c>
      <c r="J964" s="19">
        <f t="shared" si="21"/>
        <v>5.4413198079491715E-2</v>
      </c>
      <c r="K964" s="9">
        <v>10.86</v>
      </c>
      <c r="L964" s="10">
        <f t="shared" si="17"/>
        <v>5.4413198079491715E-2</v>
      </c>
    </row>
    <row r="965" spans="1:12" ht="14.25" customHeight="1" x14ac:dyDescent="0.3">
      <c r="A965" s="6" t="s">
        <v>989</v>
      </c>
      <c r="B965" s="6" t="s">
        <v>13</v>
      </c>
      <c r="C965" s="7">
        <v>45742</v>
      </c>
      <c r="D965" s="6" t="s">
        <v>20</v>
      </c>
      <c r="E965" s="8">
        <v>14165</v>
      </c>
      <c r="F965" s="8">
        <v>9162</v>
      </c>
      <c r="G965" s="8">
        <v>147</v>
      </c>
      <c r="H965" s="8">
        <v>94</v>
      </c>
      <c r="I965" s="8">
        <v>176</v>
      </c>
      <c r="J965" s="19">
        <f t="shared" si="21"/>
        <v>2.9438757500882456E-2</v>
      </c>
      <c r="K965" s="9">
        <v>4.55</v>
      </c>
      <c r="L965" s="10">
        <f t="shared" si="17"/>
        <v>2.9438757500882456E-2</v>
      </c>
    </row>
    <row r="966" spans="1:12" ht="14.25" customHeight="1" x14ac:dyDescent="0.3">
      <c r="A966" s="6" t="s">
        <v>990</v>
      </c>
      <c r="B966" s="6" t="s">
        <v>16</v>
      </c>
      <c r="C966" s="7">
        <v>45428</v>
      </c>
      <c r="D966" s="6" t="s">
        <v>20</v>
      </c>
      <c r="E966" s="8">
        <v>62223</v>
      </c>
      <c r="F966" s="8">
        <v>34365</v>
      </c>
      <c r="G966" s="8">
        <v>2184</v>
      </c>
      <c r="H966" s="8">
        <v>233</v>
      </c>
      <c r="I966" s="8">
        <v>155</v>
      </c>
      <c r="J966" s="19">
        <f t="shared" si="21"/>
        <v>4.133519759574434E-2</v>
      </c>
      <c r="K966" s="9">
        <v>7.48</v>
      </c>
      <c r="L966" s="10">
        <f t="shared" si="17"/>
        <v>4.133519759574434E-2</v>
      </c>
    </row>
    <row r="967" spans="1:12" ht="14.25" customHeight="1" x14ac:dyDescent="0.3">
      <c r="A967" s="6" t="s">
        <v>991</v>
      </c>
      <c r="B967" s="6" t="s">
        <v>22</v>
      </c>
      <c r="C967" s="7">
        <v>45747</v>
      </c>
      <c r="D967" s="6" t="s">
        <v>20</v>
      </c>
      <c r="E967" s="8">
        <v>376541</v>
      </c>
      <c r="F967" s="8">
        <v>148247</v>
      </c>
      <c r="G967" s="8">
        <v>17640</v>
      </c>
      <c r="H967" s="8">
        <v>4413</v>
      </c>
      <c r="I967" s="8">
        <v>5267</v>
      </c>
      <c r="J967" s="19">
        <f t="shared" si="21"/>
        <v>7.2555179914006715E-2</v>
      </c>
      <c r="K967" s="9">
        <v>18.43</v>
      </c>
      <c r="L967" s="10">
        <f t="shared" si="17"/>
        <v>7.2555179914006715E-2</v>
      </c>
    </row>
    <row r="968" spans="1:12" ht="14.25" customHeight="1" x14ac:dyDescent="0.3">
      <c r="A968" s="6" t="s">
        <v>992</v>
      </c>
      <c r="B968" s="6" t="s">
        <v>13</v>
      </c>
      <c r="C968" s="7">
        <v>45662</v>
      </c>
      <c r="D968" s="6" t="s">
        <v>17</v>
      </c>
      <c r="E968" s="8">
        <v>6165</v>
      </c>
      <c r="F968" s="8">
        <v>2175</v>
      </c>
      <c r="G968" s="8">
        <v>64</v>
      </c>
      <c r="H968" s="8">
        <v>15</v>
      </c>
      <c r="I968" s="8">
        <v>64</v>
      </c>
      <c r="J968" s="19">
        <f t="shared" si="21"/>
        <v>2.3195458231954583E-2</v>
      </c>
      <c r="K968" s="9">
        <v>6.57</v>
      </c>
      <c r="L968" s="10">
        <f t="shared" si="17"/>
        <v>2.3195458231954583E-2</v>
      </c>
    </row>
    <row r="969" spans="1:12" ht="14.25" customHeight="1" x14ac:dyDescent="0.3">
      <c r="A969" s="6" t="s">
        <v>993</v>
      </c>
      <c r="B969" s="6" t="s">
        <v>19</v>
      </c>
      <c r="C969" s="7">
        <v>45639</v>
      </c>
      <c r="D969" s="6" t="s">
        <v>14</v>
      </c>
      <c r="E969" s="8">
        <v>23521</v>
      </c>
      <c r="F969" s="8">
        <v>20054</v>
      </c>
      <c r="G969" s="8">
        <v>160</v>
      </c>
      <c r="H969" s="8">
        <v>111</v>
      </c>
      <c r="I969" s="8">
        <v>185</v>
      </c>
      <c r="J969" s="19">
        <f t="shared" si="21"/>
        <v>1.9386930827770928E-2</v>
      </c>
      <c r="K969" s="9">
        <v>2.27</v>
      </c>
      <c r="L969" s="10">
        <f t="shared" si="17"/>
        <v>1.9386930827770928E-2</v>
      </c>
    </row>
    <row r="970" spans="1:12" ht="14.25" customHeight="1" x14ac:dyDescent="0.3">
      <c r="A970" s="6" t="s">
        <v>994</v>
      </c>
      <c r="B970" s="6" t="s">
        <v>30</v>
      </c>
      <c r="C970" s="7">
        <v>45430</v>
      </c>
      <c r="D970" s="6" t="s">
        <v>25</v>
      </c>
      <c r="E970" s="8">
        <v>9282</v>
      </c>
      <c r="F970" s="8">
        <v>5962</v>
      </c>
      <c r="G970" s="8">
        <v>234</v>
      </c>
      <c r="H970" s="8">
        <v>75</v>
      </c>
      <c r="I970" s="8">
        <v>42</v>
      </c>
      <c r="J970" s="19">
        <f t="shared" si="21"/>
        <v>3.7815126050420166E-2</v>
      </c>
      <c r="K970" s="9">
        <v>5.89</v>
      </c>
      <c r="L970" s="10">
        <f t="shared" si="17"/>
        <v>3.7815126050420166E-2</v>
      </c>
    </row>
    <row r="971" spans="1:12" ht="14.25" customHeight="1" x14ac:dyDescent="0.3">
      <c r="A971" s="6" t="s">
        <v>995</v>
      </c>
      <c r="B971" s="6" t="s">
        <v>19</v>
      </c>
      <c r="C971" s="7">
        <v>45829</v>
      </c>
      <c r="D971" s="6" t="s">
        <v>20</v>
      </c>
      <c r="E971" s="8">
        <v>26423</v>
      </c>
      <c r="F971" s="8">
        <v>15975</v>
      </c>
      <c r="G971" s="8">
        <v>282</v>
      </c>
      <c r="H971" s="8">
        <v>23</v>
      </c>
      <c r="I971" s="8">
        <v>257</v>
      </c>
      <c r="J971" s="19">
        <f t="shared" si="21"/>
        <v>2.1269348673504145E-2</v>
      </c>
      <c r="K971" s="9">
        <v>3.52</v>
      </c>
      <c r="L971" s="10">
        <f t="shared" si="17"/>
        <v>2.1269348673504145E-2</v>
      </c>
    </row>
    <row r="972" spans="1:12" ht="14.25" customHeight="1" x14ac:dyDescent="0.3">
      <c r="A972" s="6" t="s">
        <v>996</v>
      </c>
      <c r="B972" s="6" t="s">
        <v>19</v>
      </c>
      <c r="C972" s="7">
        <v>45957</v>
      </c>
      <c r="D972" s="6" t="s">
        <v>17</v>
      </c>
      <c r="E972" s="8">
        <v>5462</v>
      </c>
      <c r="F972" s="8">
        <v>3524</v>
      </c>
      <c r="G972" s="8">
        <v>103</v>
      </c>
      <c r="H972" s="8">
        <v>11</v>
      </c>
      <c r="I972" s="8">
        <v>31</v>
      </c>
      <c r="J972" s="19">
        <f t="shared" si="21"/>
        <v>2.6547052361772246E-2</v>
      </c>
      <c r="K972" s="9">
        <v>4.1100000000000003</v>
      </c>
      <c r="L972" s="10">
        <f t="shared" si="17"/>
        <v>2.6547052361772246E-2</v>
      </c>
    </row>
    <row r="973" spans="1:12" ht="14.25" customHeight="1" x14ac:dyDescent="0.3">
      <c r="A973" s="6" t="s">
        <v>997</v>
      </c>
      <c r="B973" s="6" t="s">
        <v>19</v>
      </c>
      <c r="C973" s="7">
        <v>45941</v>
      </c>
      <c r="D973" s="6" t="s">
        <v>14</v>
      </c>
      <c r="E973" s="8">
        <v>9373</v>
      </c>
      <c r="F973" s="8">
        <v>6591</v>
      </c>
      <c r="G973" s="8">
        <v>156</v>
      </c>
      <c r="H973" s="8">
        <v>10</v>
      </c>
      <c r="I973" s="8">
        <v>98</v>
      </c>
      <c r="J973" s="19">
        <f t="shared" si="21"/>
        <v>2.816600874853302E-2</v>
      </c>
      <c r="K973" s="9">
        <v>4.01</v>
      </c>
      <c r="L973" s="10">
        <f t="shared" si="17"/>
        <v>2.816600874853302E-2</v>
      </c>
    </row>
    <row r="974" spans="1:12" ht="14.25" customHeight="1" x14ac:dyDescent="0.3">
      <c r="A974" s="6" t="s">
        <v>998</v>
      </c>
      <c r="B974" s="6" t="s">
        <v>30</v>
      </c>
      <c r="C974" s="7">
        <v>45652</v>
      </c>
      <c r="D974" s="6" t="s">
        <v>20</v>
      </c>
      <c r="E974" s="8">
        <v>11118</v>
      </c>
      <c r="F974" s="8">
        <v>5229</v>
      </c>
      <c r="G974" s="8">
        <v>196</v>
      </c>
      <c r="H974" s="8">
        <v>30</v>
      </c>
      <c r="I974" s="8">
        <v>69</v>
      </c>
      <c r="J974" s="19">
        <f t="shared" si="21"/>
        <v>2.6533549199496312E-2</v>
      </c>
      <c r="K974" s="9">
        <v>5.64</v>
      </c>
      <c r="L974" s="10">
        <f t="shared" si="17"/>
        <v>2.6533549199496312E-2</v>
      </c>
    </row>
    <row r="975" spans="1:12" ht="14.25" customHeight="1" x14ac:dyDescent="0.3">
      <c r="A975" s="6" t="s">
        <v>999</v>
      </c>
      <c r="B975" s="6" t="s">
        <v>16</v>
      </c>
      <c r="C975" s="7">
        <v>45760</v>
      </c>
      <c r="D975" s="6" t="s">
        <v>25</v>
      </c>
      <c r="E975" s="8">
        <v>20217</v>
      </c>
      <c r="F975" s="8">
        <v>8590</v>
      </c>
      <c r="G975" s="8">
        <v>355</v>
      </c>
      <c r="H975" s="8">
        <v>91</v>
      </c>
      <c r="I975" s="8">
        <v>84</v>
      </c>
      <c r="J975" s="19">
        <f t="shared" si="21"/>
        <v>2.6215561161398823E-2</v>
      </c>
      <c r="K975" s="9">
        <v>6.17</v>
      </c>
      <c r="L975" s="10">
        <f t="shared" si="17"/>
        <v>2.6215561161398823E-2</v>
      </c>
    </row>
    <row r="976" spans="1:12" ht="14.25" customHeight="1" x14ac:dyDescent="0.3">
      <c r="A976" s="6" t="s">
        <v>1000</v>
      </c>
      <c r="B976" s="6" t="s">
        <v>30</v>
      </c>
      <c r="C976" s="7">
        <v>45916</v>
      </c>
      <c r="D976" s="6" t="s">
        <v>25</v>
      </c>
      <c r="E976" s="8">
        <v>27250</v>
      </c>
      <c r="F976" s="8">
        <v>16118</v>
      </c>
      <c r="G976" s="8">
        <v>527</v>
      </c>
      <c r="H976" s="8">
        <v>269</v>
      </c>
      <c r="I976" s="8">
        <v>143</v>
      </c>
      <c r="J976" s="19">
        <f t="shared" si="21"/>
        <v>3.4458715596330278E-2</v>
      </c>
      <c r="K976" s="9">
        <v>5.83</v>
      </c>
      <c r="L976" s="10">
        <f t="shared" si="17"/>
        <v>3.4458715596330278E-2</v>
      </c>
    </row>
    <row r="977" spans="1:12" ht="14.25" customHeight="1" x14ac:dyDescent="0.3">
      <c r="A977" s="6" t="s">
        <v>1001</v>
      </c>
      <c r="B977" s="6" t="s">
        <v>30</v>
      </c>
      <c r="C977" s="7">
        <v>45517</v>
      </c>
      <c r="D977" s="6" t="s">
        <v>14</v>
      </c>
      <c r="E977" s="8">
        <v>11600</v>
      </c>
      <c r="F977" s="8">
        <v>4905</v>
      </c>
      <c r="G977" s="8">
        <v>284</v>
      </c>
      <c r="H977" s="8">
        <v>73</v>
      </c>
      <c r="I977" s="8">
        <v>34</v>
      </c>
      <c r="J977" s="19">
        <f t="shared" si="21"/>
        <v>3.3706896551724139E-2</v>
      </c>
      <c r="K977" s="9">
        <v>7.97</v>
      </c>
      <c r="L977" s="10">
        <f t="shared" si="17"/>
        <v>3.3706896551724139E-2</v>
      </c>
    </row>
    <row r="978" spans="1:12" ht="14.25" customHeight="1" x14ac:dyDescent="0.3">
      <c r="A978" s="6" t="s">
        <v>1002</v>
      </c>
      <c r="B978" s="6" t="s">
        <v>22</v>
      </c>
      <c r="C978" s="7">
        <v>45517</v>
      </c>
      <c r="D978" s="6" t="s">
        <v>20</v>
      </c>
      <c r="E978" s="8">
        <v>422218</v>
      </c>
      <c r="F978" s="8">
        <v>218271</v>
      </c>
      <c r="G978" s="8">
        <v>13194</v>
      </c>
      <c r="H978" s="8">
        <v>5257</v>
      </c>
      <c r="I978" s="8">
        <v>9736</v>
      </c>
      <c r="J978" s="19">
        <f t="shared" si="21"/>
        <v>6.6759351804044353E-2</v>
      </c>
      <c r="K978" s="9">
        <v>12.91</v>
      </c>
      <c r="L978" s="10">
        <f t="shared" si="17"/>
        <v>6.6759351804044353E-2</v>
      </c>
    </row>
    <row r="979" spans="1:12" ht="14.25" customHeight="1" x14ac:dyDescent="0.3">
      <c r="A979" s="6" t="s">
        <v>1003</v>
      </c>
      <c r="B979" s="6" t="s">
        <v>13</v>
      </c>
      <c r="C979" s="7">
        <v>45831</v>
      </c>
      <c r="D979" s="6" t="s">
        <v>14</v>
      </c>
      <c r="E979" s="8">
        <v>7766</v>
      </c>
      <c r="F979" s="8">
        <v>2559</v>
      </c>
      <c r="G979" s="8">
        <v>118</v>
      </c>
      <c r="H979" s="8">
        <v>48</v>
      </c>
      <c r="I979" s="8">
        <v>75</v>
      </c>
      <c r="J979" s="19">
        <f t="shared" si="21"/>
        <v>3.1032706670100437E-2</v>
      </c>
      <c r="K979" s="9">
        <v>9.42</v>
      </c>
      <c r="L979" s="10">
        <f t="shared" si="17"/>
        <v>3.1032706670100437E-2</v>
      </c>
    </row>
    <row r="980" spans="1:12" ht="14.25" customHeight="1" x14ac:dyDescent="0.3">
      <c r="A980" s="6" t="s">
        <v>1004</v>
      </c>
      <c r="B980" s="6" t="s">
        <v>16</v>
      </c>
      <c r="C980" s="7">
        <v>45644</v>
      </c>
      <c r="D980" s="6" t="s">
        <v>25</v>
      </c>
      <c r="E980" s="8">
        <v>40881</v>
      </c>
      <c r="F980" s="8">
        <v>28847</v>
      </c>
      <c r="G980" s="8">
        <v>866</v>
      </c>
      <c r="H980" s="8">
        <v>207</v>
      </c>
      <c r="I980" s="8">
        <v>178</v>
      </c>
      <c r="J980" s="19">
        <f t="shared" si="21"/>
        <v>3.0601012695384164E-2</v>
      </c>
      <c r="K980" s="9">
        <v>4.34</v>
      </c>
      <c r="L980" s="10">
        <f t="shared" si="17"/>
        <v>3.0601012695384164E-2</v>
      </c>
    </row>
    <row r="981" spans="1:12" ht="14.25" customHeight="1" x14ac:dyDescent="0.3">
      <c r="A981" s="6" t="s">
        <v>1005</v>
      </c>
      <c r="B981" s="6" t="s">
        <v>30</v>
      </c>
      <c r="C981" s="7">
        <v>45472</v>
      </c>
      <c r="D981" s="6" t="s">
        <v>17</v>
      </c>
      <c r="E981" s="8">
        <v>14948</v>
      </c>
      <c r="F981" s="8">
        <v>8117</v>
      </c>
      <c r="G981" s="8">
        <v>414</v>
      </c>
      <c r="H981" s="8">
        <v>163</v>
      </c>
      <c r="I981" s="8">
        <v>36</v>
      </c>
      <c r="J981" s="19">
        <f t="shared" si="21"/>
        <v>4.1008830612791008E-2</v>
      </c>
      <c r="K981" s="9">
        <v>7.55</v>
      </c>
      <c r="L981" s="10">
        <f t="shared" si="17"/>
        <v>4.1008830612791008E-2</v>
      </c>
    </row>
    <row r="982" spans="1:12" ht="14.25" customHeight="1" x14ac:dyDescent="0.3">
      <c r="A982" s="6" t="s">
        <v>1006</v>
      </c>
      <c r="B982" s="6" t="s">
        <v>22</v>
      </c>
      <c r="C982" s="7">
        <v>45397</v>
      </c>
      <c r="D982" s="6" t="s">
        <v>20</v>
      </c>
      <c r="E982" s="8">
        <v>423592</v>
      </c>
      <c r="F982" s="8">
        <v>184173</v>
      </c>
      <c r="G982" s="8">
        <v>11210</v>
      </c>
      <c r="H982" s="8">
        <v>4113</v>
      </c>
      <c r="I982" s="8">
        <v>2791</v>
      </c>
      <c r="J982" s="19">
        <f t="shared" si="21"/>
        <v>4.2762847268125931E-2</v>
      </c>
      <c r="K982" s="9">
        <v>9.84</v>
      </c>
      <c r="L982" s="10">
        <f t="shared" si="17"/>
        <v>4.2762847268125931E-2</v>
      </c>
    </row>
    <row r="983" spans="1:12" ht="14.25" customHeight="1" x14ac:dyDescent="0.3">
      <c r="A983" s="6" t="s">
        <v>1007</v>
      </c>
      <c r="B983" s="6" t="s">
        <v>13</v>
      </c>
      <c r="C983" s="7">
        <v>45672</v>
      </c>
      <c r="D983" s="6" t="s">
        <v>14</v>
      </c>
      <c r="E983" s="8">
        <v>25434</v>
      </c>
      <c r="F983" s="8">
        <v>17008</v>
      </c>
      <c r="G983" s="8">
        <v>433</v>
      </c>
      <c r="H983" s="8">
        <v>75</v>
      </c>
      <c r="I983" s="8">
        <v>442</v>
      </c>
      <c r="J983" s="19">
        <f t="shared" si="21"/>
        <v>3.7351576629708262E-2</v>
      </c>
      <c r="K983" s="9">
        <v>5.59</v>
      </c>
      <c r="L983" s="10">
        <f t="shared" si="17"/>
        <v>3.7351576629708262E-2</v>
      </c>
    </row>
    <row r="984" spans="1:12" ht="14.25" customHeight="1" x14ac:dyDescent="0.3">
      <c r="A984" s="6" t="s">
        <v>1008</v>
      </c>
      <c r="B984" s="6" t="s">
        <v>30</v>
      </c>
      <c r="C984" s="7">
        <v>45403</v>
      </c>
      <c r="D984" s="6" t="s">
        <v>25</v>
      </c>
      <c r="E984" s="8">
        <v>4418</v>
      </c>
      <c r="F984" s="8">
        <v>2307</v>
      </c>
      <c r="G984" s="8">
        <v>116</v>
      </c>
      <c r="H984" s="8">
        <v>22</v>
      </c>
      <c r="I984" s="8">
        <v>14</v>
      </c>
      <c r="J984" s="19">
        <f t="shared" si="21"/>
        <v>3.4404708012675415E-2</v>
      </c>
      <c r="K984" s="9">
        <v>6.59</v>
      </c>
      <c r="L984" s="10">
        <f t="shared" si="17"/>
        <v>3.4404708012675415E-2</v>
      </c>
    </row>
    <row r="985" spans="1:12" ht="14.25" customHeight="1" x14ac:dyDescent="0.3">
      <c r="A985" s="6" t="s">
        <v>1009</v>
      </c>
      <c r="B985" s="6" t="s">
        <v>13</v>
      </c>
      <c r="C985" s="7">
        <v>45418</v>
      </c>
      <c r="D985" s="6" t="s">
        <v>25</v>
      </c>
      <c r="E985" s="8">
        <v>2777</v>
      </c>
      <c r="F985" s="8">
        <v>1342</v>
      </c>
      <c r="G985" s="8">
        <v>66</v>
      </c>
      <c r="H985" s="8">
        <v>5</v>
      </c>
      <c r="I985" s="8">
        <v>25</v>
      </c>
      <c r="J985" s="19">
        <f t="shared" si="21"/>
        <v>3.4569679510262873E-2</v>
      </c>
      <c r="K985" s="9">
        <v>7.15</v>
      </c>
      <c r="L985" s="10">
        <f t="shared" si="17"/>
        <v>3.4569679510262873E-2</v>
      </c>
    </row>
    <row r="986" spans="1:12" ht="14.25" customHeight="1" x14ac:dyDescent="0.3">
      <c r="A986" s="6" t="s">
        <v>1010</v>
      </c>
      <c r="B986" s="6" t="s">
        <v>30</v>
      </c>
      <c r="C986" s="7">
        <v>45372</v>
      </c>
      <c r="D986" s="6" t="s">
        <v>14</v>
      </c>
      <c r="E986" s="8">
        <v>11582</v>
      </c>
      <c r="F986" s="8">
        <v>5633</v>
      </c>
      <c r="G986" s="8">
        <v>93</v>
      </c>
      <c r="H986" s="8">
        <v>73</v>
      </c>
      <c r="I986" s="8">
        <v>32</v>
      </c>
      <c r="J986" s="19">
        <f t="shared" si="21"/>
        <v>1.7095493006389226E-2</v>
      </c>
      <c r="K986" s="9">
        <v>3.52</v>
      </c>
      <c r="L986" s="10">
        <f t="shared" si="17"/>
        <v>1.7095493006389226E-2</v>
      </c>
    </row>
    <row r="987" spans="1:12" ht="14.25" customHeight="1" x14ac:dyDescent="0.3">
      <c r="A987" s="6" t="s">
        <v>1011</v>
      </c>
      <c r="B987" s="6" t="s">
        <v>13</v>
      </c>
      <c r="C987" s="7">
        <v>45716</v>
      </c>
      <c r="D987" s="6" t="s">
        <v>14</v>
      </c>
      <c r="E987" s="8">
        <v>5501</v>
      </c>
      <c r="F987" s="8">
        <v>3359</v>
      </c>
      <c r="G987" s="8">
        <v>75</v>
      </c>
      <c r="H987" s="8">
        <v>27</v>
      </c>
      <c r="I987" s="8">
        <v>56</v>
      </c>
      <c r="J987" s="19">
        <f t="shared" si="21"/>
        <v>2.8722050536266135E-2</v>
      </c>
      <c r="K987" s="9">
        <v>4.7</v>
      </c>
      <c r="L987" s="10">
        <f t="shared" si="17"/>
        <v>2.8722050536266135E-2</v>
      </c>
    </row>
    <row r="988" spans="1:12" ht="14.25" customHeight="1" x14ac:dyDescent="0.3">
      <c r="A988" s="6" t="s">
        <v>1012</v>
      </c>
      <c r="B988" s="6" t="s">
        <v>19</v>
      </c>
      <c r="C988" s="7">
        <v>45419</v>
      </c>
      <c r="D988" s="6" t="s">
        <v>14</v>
      </c>
      <c r="E988" s="8">
        <v>4273</v>
      </c>
      <c r="F988" s="8">
        <v>2786</v>
      </c>
      <c r="G988" s="8">
        <v>65</v>
      </c>
      <c r="H988" s="8">
        <v>21</v>
      </c>
      <c r="I988" s="8">
        <v>50</v>
      </c>
      <c r="J988" s="19">
        <f t="shared" si="21"/>
        <v>3.1827755675169669E-2</v>
      </c>
      <c r="K988" s="9">
        <v>4.88</v>
      </c>
      <c r="L988" s="10">
        <f t="shared" si="17"/>
        <v>3.1827755675169669E-2</v>
      </c>
    </row>
    <row r="989" spans="1:12" ht="14.25" customHeight="1" x14ac:dyDescent="0.3">
      <c r="A989" s="6" t="s">
        <v>1013</v>
      </c>
      <c r="B989" s="6" t="s">
        <v>30</v>
      </c>
      <c r="C989" s="7">
        <v>45403</v>
      </c>
      <c r="D989" s="6" t="s">
        <v>20</v>
      </c>
      <c r="E989" s="8">
        <v>22423</v>
      </c>
      <c r="F989" s="8">
        <v>17363</v>
      </c>
      <c r="G989" s="8">
        <v>539</v>
      </c>
      <c r="H989" s="8">
        <v>246</v>
      </c>
      <c r="I989" s="8">
        <v>144</v>
      </c>
      <c r="J989" s="19">
        <f t="shared" si="21"/>
        <v>4.1430673861659904E-2</v>
      </c>
      <c r="K989" s="9">
        <v>5.35</v>
      </c>
      <c r="L989" s="10">
        <f t="shared" si="17"/>
        <v>4.1430673861659904E-2</v>
      </c>
    </row>
    <row r="990" spans="1:12" ht="14.25" customHeight="1" x14ac:dyDescent="0.3">
      <c r="A990" s="6" t="s">
        <v>1014</v>
      </c>
      <c r="B990" s="6" t="s">
        <v>13</v>
      </c>
      <c r="C990" s="7">
        <v>45529</v>
      </c>
      <c r="D990" s="6" t="s">
        <v>25</v>
      </c>
      <c r="E990" s="8">
        <v>20903</v>
      </c>
      <c r="F990" s="8">
        <v>10809</v>
      </c>
      <c r="G990" s="8">
        <v>304</v>
      </c>
      <c r="H990" s="8">
        <v>127</v>
      </c>
      <c r="I990" s="8">
        <v>200</v>
      </c>
      <c r="J990" s="19">
        <f t="shared" si="21"/>
        <v>3.0187054489786154E-2</v>
      </c>
      <c r="K990" s="9">
        <v>5.84</v>
      </c>
      <c r="L990" s="10">
        <f t="shared" si="17"/>
        <v>3.0187054489786154E-2</v>
      </c>
    </row>
    <row r="991" spans="1:12" ht="14.25" customHeight="1" x14ac:dyDescent="0.3">
      <c r="A991" s="6" t="s">
        <v>1015</v>
      </c>
      <c r="B991" s="6" t="s">
        <v>16</v>
      </c>
      <c r="C991" s="7">
        <v>45793</v>
      </c>
      <c r="D991" s="6" t="s">
        <v>23</v>
      </c>
      <c r="E991" s="8">
        <v>96470</v>
      </c>
      <c r="F991" s="8">
        <v>57260</v>
      </c>
      <c r="G991" s="8">
        <v>1230</v>
      </c>
      <c r="H991" s="8">
        <v>539</v>
      </c>
      <c r="I991" s="8">
        <v>144</v>
      </c>
      <c r="J991" s="19">
        <f t="shared" si="21"/>
        <v>1.9829998963408313E-2</v>
      </c>
      <c r="K991" s="9">
        <v>3.34</v>
      </c>
      <c r="L991" s="10">
        <f t="shared" si="17"/>
        <v>1.9829998963408313E-2</v>
      </c>
    </row>
    <row r="992" spans="1:12" ht="14.25" customHeight="1" x14ac:dyDescent="0.3">
      <c r="A992" s="6" t="s">
        <v>1016</v>
      </c>
      <c r="B992" s="6" t="s">
        <v>19</v>
      </c>
      <c r="C992" s="7">
        <v>45825</v>
      </c>
      <c r="D992" s="6" t="s">
        <v>17</v>
      </c>
      <c r="E992" s="8">
        <v>14054</v>
      </c>
      <c r="F992" s="8">
        <v>9988</v>
      </c>
      <c r="G992" s="8">
        <v>217</v>
      </c>
      <c r="H992" s="8">
        <v>41</v>
      </c>
      <c r="I992" s="8">
        <v>62</v>
      </c>
      <c r="J992" s="19">
        <f t="shared" si="21"/>
        <v>2.2769318343532092E-2</v>
      </c>
      <c r="K992" s="9">
        <v>3.2</v>
      </c>
      <c r="L992" s="10">
        <f t="shared" si="17"/>
        <v>2.2769318343532092E-2</v>
      </c>
    </row>
    <row r="993" spans="1:12" ht="14.25" customHeight="1" x14ac:dyDescent="0.3">
      <c r="A993" s="6" t="s">
        <v>1017</v>
      </c>
      <c r="B993" s="6" t="s">
        <v>19</v>
      </c>
      <c r="C993" s="7">
        <v>45316</v>
      </c>
      <c r="D993" s="6" t="s">
        <v>14</v>
      </c>
      <c r="E993" s="8">
        <v>3747</v>
      </c>
      <c r="F993" s="8">
        <v>1978</v>
      </c>
      <c r="G993" s="8">
        <v>26</v>
      </c>
      <c r="H993" s="8">
        <v>4</v>
      </c>
      <c r="I993" s="8">
        <v>23</v>
      </c>
      <c r="J993" s="19">
        <f t="shared" si="21"/>
        <v>1.4144649052575394E-2</v>
      </c>
      <c r="K993" s="9">
        <v>2.68</v>
      </c>
      <c r="L993" s="10">
        <f t="shared" si="17"/>
        <v>1.4144649052575394E-2</v>
      </c>
    </row>
    <row r="994" spans="1:12" ht="14.25" customHeight="1" x14ac:dyDescent="0.3">
      <c r="A994" s="6" t="s">
        <v>1018</v>
      </c>
      <c r="B994" s="6" t="s">
        <v>13</v>
      </c>
      <c r="C994" s="7">
        <v>45544</v>
      </c>
      <c r="D994" s="6" t="s">
        <v>14</v>
      </c>
      <c r="E994" s="8">
        <v>10380</v>
      </c>
      <c r="F994" s="8">
        <v>4344</v>
      </c>
      <c r="G994" s="8">
        <v>131</v>
      </c>
      <c r="H994" s="8">
        <v>71</v>
      </c>
      <c r="I994" s="8">
        <v>37</v>
      </c>
      <c r="J994" s="19">
        <f t="shared" si="21"/>
        <v>2.302504816955684E-2</v>
      </c>
      <c r="K994" s="9">
        <v>5.5</v>
      </c>
      <c r="L994" s="10">
        <f t="shared" si="17"/>
        <v>2.302504816955684E-2</v>
      </c>
    </row>
    <row r="995" spans="1:12" ht="14.25" customHeight="1" x14ac:dyDescent="0.3">
      <c r="A995" s="6" t="s">
        <v>1019</v>
      </c>
      <c r="B995" s="6" t="s">
        <v>19</v>
      </c>
      <c r="C995" s="7">
        <v>45954</v>
      </c>
      <c r="D995" s="6" t="s">
        <v>14</v>
      </c>
      <c r="E995" s="8">
        <v>22714</v>
      </c>
      <c r="F995" s="8">
        <v>14395</v>
      </c>
      <c r="G995" s="8">
        <v>298</v>
      </c>
      <c r="H995" s="8">
        <v>92</v>
      </c>
      <c r="I995" s="8">
        <v>119</v>
      </c>
      <c r="J995" s="19">
        <f t="shared" si="21"/>
        <v>2.2409086906753545E-2</v>
      </c>
      <c r="K995" s="9">
        <v>3.54</v>
      </c>
      <c r="L995" s="10">
        <f t="shared" si="17"/>
        <v>2.2409086906753545E-2</v>
      </c>
    </row>
    <row r="996" spans="1:12" ht="14.25" customHeight="1" x14ac:dyDescent="0.3">
      <c r="A996" s="6" t="s">
        <v>1020</v>
      </c>
      <c r="B996" s="6" t="s">
        <v>13</v>
      </c>
      <c r="C996" s="7">
        <v>45423</v>
      </c>
      <c r="D996" s="6" t="s">
        <v>25</v>
      </c>
      <c r="E996" s="8">
        <v>26648</v>
      </c>
      <c r="F996" s="8">
        <v>9105</v>
      </c>
      <c r="G996" s="8">
        <v>204</v>
      </c>
      <c r="H996" s="8">
        <v>127</v>
      </c>
      <c r="I996" s="8">
        <v>107</v>
      </c>
      <c r="J996" s="19">
        <f t="shared" si="21"/>
        <v>1.6436505553887721E-2</v>
      </c>
      <c r="K996" s="9">
        <v>4.8099999999999996</v>
      </c>
      <c r="L996" s="10">
        <f t="shared" si="17"/>
        <v>1.6436505553887721E-2</v>
      </c>
    </row>
    <row r="997" spans="1:12" ht="14.25" customHeight="1" x14ac:dyDescent="0.3">
      <c r="A997" s="6" t="s">
        <v>1021</v>
      </c>
      <c r="B997" s="6" t="s">
        <v>16</v>
      </c>
      <c r="C997" s="7">
        <v>45739</v>
      </c>
      <c r="D997" s="6" t="s">
        <v>17</v>
      </c>
      <c r="E997" s="8">
        <v>2934</v>
      </c>
      <c r="F997" s="8">
        <v>1462</v>
      </c>
      <c r="G997" s="8">
        <v>116</v>
      </c>
      <c r="H997" s="8">
        <v>19</v>
      </c>
      <c r="I997" s="8">
        <v>1</v>
      </c>
      <c r="J997" s="19">
        <f t="shared" si="21"/>
        <v>4.6353101567825496E-2</v>
      </c>
      <c r="K997" s="9">
        <v>9.3000000000000007</v>
      </c>
      <c r="L997" s="10">
        <f t="shared" si="17"/>
        <v>4.6353101567825496E-2</v>
      </c>
    </row>
    <row r="998" spans="1:12" ht="14.25" customHeight="1" x14ac:dyDescent="0.3">
      <c r="A998" s="6" t="s">
        <v>1022</v>
      </c>
      <c r="B998" s="6" t="s">
        <v>16</v>
      </c>
      <c r="C998" s="7">
        <v>45804</v>
      </c>
      <c r="D998" s="6" t="s">
        <v>25</v>
      </c>
      <c r="E998" s="8">
        <v>84023</v>
      </c>
      <c r="F998" s="8">
        <v>35548</v>
      </c>
      <c r="G998" s="8">
        <v>2015</v>
      </c>
      <c r="H998" s="8">
        <v>347</v>
      </c>
      <c r="I998" s="8">
        <v>74</v>
      </c>
      <c r="J998" s="19">
        <f t="shared" si="21"/>
        <v>2.8992061697392379E-2</v>
      </c>
      <c r="K998" s="9">
        <v>6.85</v>
      </c>
      <c r="L998" s="10">
        <f t="shared" si="17"/>
        <v>2.8992061697392379E-2</v>
      </c>
    </row>
    <row r="999" spans="1:12" ht="14.25" customHeight="1" x14ac:dyDescent="0.3">
      <c r="A999" s="6" t="s">
        <v>1023</v>
      </c>
      <c r="B999" s="6" t="s">
        <v>13</v>
      </c>
      <c r="C999" s="7">
        <v>45906</v>
      </c>
      <c r="D999" s="6" t="s">
        <v>14</v>
      </c>
      <c r="E999" s="8">
        <v>10873</v>
      </c>
      <c r="F999" s="8">
        <v>4156</v>
      </c>
      <c r="G999" s="8">
        <v>61</v>
      </c>
      <c r="H999" s="8">
        <v>16</v>
      </c>
      <c r="I999" s="8">
        <v>22</v>
      </c>
      <c r="J999" s="19">
        <f t="shared" si="21"/>
        <v>9.1051227812011404E-3</v>
      </c>
      <c r="K999" s="9">
        <v>2.38</v>
      </c>
      <c r="L999" s="10">
        <f t="shared" si="17"/>
        <v>9.1051227812011404E-3</v>
      </c>
    </row>
    <row r="1000" spans="1:12" ht="14.25" customHeight="1" x14ac:dyDescent="0.3">
      <c r="A1000" s="6" t="s">
        <v>1024</v>
      </c>
      <c r="B1000" s="6" t="s">
        <v>13</v>
      </c>
      <c r="C1000" s="7">
        <v>45599</v>
      </c>
      <c r="D1000" s="6" t="s">
        <v>20</v>
      </c>
      <c r="E1000" s="8">
        <v>2959</v>
      </c>
      <c r="F1000" s="8">
        <v>1258</v>
      </c>
      <c r="G1000" s="8">
        <v>17</v>
      </c>
      <c r="H1000" s="8">
        <v>10</v>
      </c>
      <c r="I1000" s="8">
        <v>28</v>
      </c>
      <c r="J1000" s="19">
        <f t="shared" si="21"/>
        <v>1.858736059479554E-2</v>
      </c>
      <c r="K1000" s="9">
        <v>4.37</v>
      </c>
      <c r="L1000" s="10">
        <f t="shared" si="17"/>
        <v>1.858736059479554E-2</v>
      </c>
    </row>
    <row r="1001" spans="1:12" ht="14.25" customHeight="1" x14ac:dyDescent="0.3">
      <c r="A1001" s="6" t="s">
        <v>1025</v>
      </c>
      <c r="B1001" s="6" t="s">
        <v>22</v>
      </c>
      <c r="C1001" s="7">
        <v>45717</v>
      </c>
      <c r="D1001" s="6" t="s">
        <v>23</v>
      </c>
      <c r="E1001" s="8">
        <v>132006</v>
      </c>
      <c r="F1001" s="8">
        <v>59268</v>
      </c>
      <c r="G1001" s="8">
        <v>4064</v>
      </c>
      <c r="H1001" s="8">
        <v>1000</v>
      </c>
      <c r="I1001" s="8">
        <v>2514</v>
      </c>
      <c r="J1001" s="19">
        <f t="shared" si="21"/>
        <v>5.7406481523567109E-2</v>
      </c>
      <c r="K1001" s="9">
        <v>12.79</v>
      </c>
      <c r="L1001" s="10">
        <f t="shared" si="17"/>
        <v>5.7406481523567109E-2</v>
      </c>
    </row>
  </sheetData>
  <autoFilter ref="A1:K1001" xr:uid="{00000000-0009-0000-00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7573-C99B-4981-BDA6-C19CE9E51E0A}">
  <dimension ref="A1:N23"/>
  <sheetViews>
    <sheetView tabSelected="1" workbookViewId="0">
      <pane ySplit="4" topLeftCell="A5" activePane="bottomLeft" state="frozen"/>
      <selection pane="bottomLeft" activeCell="E21" sqref="E21"/>
    </sheetView>
  </sheetViews>
  <sheetFormatPr defaultRowHeight="14.4" x14ac:dyDescent="0.3"/>
  <cols>
    <col min="1" max="1" width="43.5546875" customWidth="1"/>
    <col min="2" max="2" width="22.21875" customWidth="1"/>
    <col min="3" max="3" width="3.33203125" customWidth="1"/>
    <col min="4" max="4" width="9.88671875" bestFit="1" customWidth="1"/>
    <col min="5" max="5" width="6" bestFit="1" customWidth="1"/>
    <col min="6" max="6" width="12.21875" bestFit="1" customWidth="1"/>
    <col min="7" max="7" width="11.5546875" bestFit="1" customWidth="1"/>
    <col min="8" max="8" width="20.5546875" bestFit="1" customWidth="1"/>
    <col min="10" max="10" width="13.109375" bestFit="1" customWidth="1"/>
    <col min="11" max="11" width="6" bestFit="1" customWidth="1"/>
    <col min="12" max="13" width="12.21875" bestFit="1" customWidth="1"/>
    <col min="14" max="14" width="20.5546875" bestFit="1" customWidth="1"/>
  </cols>
  <sheetData>
    <row r="1" spans="1:14" ht="21" x14ac:dyDescent="0.3">
      <c r="A1" s="37" t="s">
        <v>1033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x14ac:dyDescent="0.3">
      <c r="A3" s="38" t="s">
        <v>1034</v>
      </c>
      <c r="B3" s="38" t="s">
        <v>1035</v>
      </c>
      <c r="C3" s="39"/>
      <c r="D3" s="40" t="s">
        <v>1047</v>
      </c>
      <c r="E3" s="40"/>
      <c r="F3" s="40"/>
      <c r="G3" s="40"/>
      <c r="H3" s="40"/>
      <c r="I3" s="39"/>
      <c r="J3" s="40" t="s">
        <v>1050</v>
      </c>
      <c r="K3" s="40"/>
      <c r="L3" s="40"/>
      <c r="M3" s="40"/>
      <c r="N3" s="40"/>
    </row>
    <row r="4" spans="1:14" x14ac:dyDescent="0.3">
      <c r="A4" s="39" t="s">
        <v>1036</v>
      </c>
      <c r="B4" s="39">
        <f>COUNTA('Social Media Analytics'!$A$2:$A$1001)</f>
        <v>1000</v>
      </c>
      <c r="C4" s="39"/>
      <c r="D4" s="41" t="s">
        <v>1</v>
      </c>
      <c r="E4" s="41" t="s">
        <v>1048</v>
      </c>
      <c r="F4" s="41" t="s">
        <v>4</v>
      </c>
      <c r="G4" s="41" t="s">
        <v>5</v>
      </c>
      <c r="H4" s="41" t="s">
        <v>1049</v>
      </c>
      <c r="I4" s="39"/>
      <c r="J4" s="41" t="s">
        <v>3</v>
      </c>
      <c r="K4" s="41" t="s">
        <v>1048</v>
      </c>
      <c r="L4" s="41" t="s">
        <v>4</v>
      </c>
      <c r="M4" s="41" t="s">
        <v>11</v>
      </c>
      <c r="N4" s="41" t="s">
        <v>1049</v>
      </c>
    </row>
    <row r="5" spans="1:14" x14ac:dyDescent="0.3">
      <c r="A5" s="39" t="s">
        <v>1037</v>
      </c>
      <c r="B5" s="42">
        <f>SUM('Social Media Analytics'!$E$2:$E$1001)</f>
        <v>78229269</v>
      </c>
      <c r="C5" s="39"/>
      <c r="D5" s="39" t="s">
        <v>13</v>
      </c>
      <c r="E5" s="42">
        <f>COUNTIF('Social Media Analytics'!$B$2:$B$1001,D5)</f>
        <v>189</v>
      </c>
      <c r="F5" s="42">
        <f>SUMIF('Social Media Analytics'!$B$2:$B$1001,D5,'Social Media Analytics'!$E$2:$E$1001)</f>
        <v>4229271</v>
      </c>
      <c r="G5" s="42">
        <f>SUMIF('Social Media Analytics'!$B$2:$B$1001,D5,'Social Media Analytics'!$F$2:$F$1001)</f>
        <v>2187812</v>
      </c>
      <c r="H5" s="43">
        <f>AVERAGEIF('Social Media Analytics'!$B$2:$B$1001,D5,'Social Media Analytics'!$J$2:$J$1001)</f>
        <v>2.9380166039473462E-2</v>
      </c>
      <c r="I5" s="39"/>
      <c r="J5" s="39" t="s">
        <v>25</v>
      </c>
      <c r="K5" s="42">
        <f>COUNTIF('Social Media Analytics'!$D$2:$D$1001,J5)</f>
        <v>166</v>
      </c>
      <c r="L5" s="42">
        <f>SUMIF('Social Media Analytics'!$D$2:$D$1001,J5,'Social Media Analytics'!$E$2:$E$1001)</f>
        <v>5363938</v>
      </c>
      <c r="M5" s="42">
        <f>SUMIF('Social Media Analytics'!$D$2:$D$1001,J5,'Social Media Analytics'!$I$2:$I$1001)</f>
        <v>25182</v>
      </c>
      <c r="N5" s="43">
        <f>AVERAGEIF('Social Media Analytics'!$D$2:$D$1001,J5,'Social Media Analytics'!$J$2:$J$1001)</f>
        <v>3.4182199500848665E-2</v>
      </c>
    </row>
    <row r="6" spans="1:14" x14ac:dyDescent="0.3">
      <c r="A6" s="39" t="s">
        <v>1038</v>
      </c>
      <c r="B6" s="42">
        <f>SUM('Social Media Analytics'!$F$2:$F$1001)</f>
        <v>40612399</v>
      </c>
      <c r="C6" s="39"/>
      <c r="D6" s="39" t="s">
        <v>16</v>
      </c>
      <c r="E6" s="42">
        <f>COUNTIF('Social Media Analytics'!$B$2:$B$1001,D6)</f>
        <v>268</v>
      </c>
      <c r="F6" s="42">
        <f>SUMIF('Social Media Analytics'!$B$2:$B$1001,D6,'Social Media Analytics'!$E$2:$E$1001)</f>
        <v>12425477</v>
      </c>
      <c r="G6" s="42">
        <f>SUMIF('Social Media Analytics'!$B$2:$B$1001,D6,'Social Media Analytics'!$F$2:$F$1001)</f>
        <v>7413389</v>
      </c>
      <c r="H6" s="43">
        <f>AVERAGEIF('Social Media Analytics'!$B$2:$B$1001,D6,'Social Media Analytics'!$J$2:$J$1001)</f>
        <v>3.8519245444475013E-2</v>
      </c>
      <c r="I6" s="39"/>
      <c r="J6" s="39" t="s">
        <v>17</v>
      </c>
      <c r="K6" s="42">
        <f>COUNTIF('Social Media Analytics'!$D$2:$D$1001,J6)</f>
        <v>196</v>
      </c>
      <c r="L6" s="42">
        <f>SUMIF('Social Media Analytics'!$D$2:$D$1001,J6,'Social Media Analytics'!$E$2:$E$1001)</f>
        <v>3105802</v>
      </c>
      <c r="M6" s="42">
        <f>SUMIF('Social Media Analytics'!$D$2:$D$1001,J6,'Social Media Analytics'!$I$2:$I$1001)</f>
        <v>18617</v>
      </c>
      <c r="N6" s="43">
        <f>AVERAGEIF('Social Media Analytics'!$D$2:$D$1001,J6,'Social Media Analytics'!$J$2:$J$1001)</f>
        <v>3.1870373066222535E-2</v>
      </c>
    </row>
    <row r="7" spans="1:14" x14ac:dyDescent="0.3">
      <c r="A7" s="39" t="s">
        <v>1039</v>
      </c>
      <c r="B7" s="42">
        <f>SUM('Social Media Analytics'!$G$2:$G$1001)</f>
        <v>2589242</v>
      </c>
      <c r="C7" s="39"/>
      <c r="D7" s="39" t="s">
        <v>30</v>
      </c>
      <c r="E7" s="42">
        <f>COUNTIF('Social Media Analytics'!$B$2:$B$1001,D7)</f>
        <v>143</v>
      </c>
      <c r="F7" s="42">
        <f>SUMIF('Social Media Analytics'!$B$2:$B$1001,D7,'Social Media Analytics'!$E$2:$E$1001)</f>
        <v>2033218</v>
      </c>
      <c r="G7" s="42">
        <f>SUMIF('Social Media Analytics'!$B$2:$B$1001,D7,'Social Media Analytics'!$F$2:$F$1001)</f>
        <v>1240578</v>
      </c>
      <c r="H7" s="43">
        <f>AVERAGEIF('Social Media Analytics'!$B$2:$B$1001,D7,'Social Media Analytics'!$J$2:$J$1001)</f>
        <v>3.6806243864881627E-2</v>
      </c>
      <c r="I7" s="39"/>
      <c r="J7" s="39" t="s">
        <v>23</v>
      </c>
      <c r="K7" s="42">
        <f>COUNTIF('Social Media Analytics'!$D$2:$D$1001,J7)</f>
        <v>207</v>
      </c>
      <c r="L7" s="42">
        <f>SUMIF('Social Media Analytics'!$D$2:$D$1001,J7,'Social Media Analytics'!$E$2:$E$1001)</f>
        <v>33268434</v>
      </c>
      <c r="M7" s="42">
        <f>SUMIF('Social Media Analytics'!$D$2:$D$1001,J7,'Social Media Analytics'!$I$2:$I$1001)</f>
        <v>444520</v>
      </c>
      <c r="N7" s="43">
        <f>AVERAGEIF('Social Media Analytics'!$D$2:$D$1001,J7,'Social Media Analytics'!$J$2:$J$1001)</f>
        <v>5.3415577999591783E-2</v>
      </c>
    </row>
    <row r="8" spans="1:14" x14ac:dyDescent="0.3">
      <c r="A8" s="39" t="s">
        <v>1040</v>
      </c>
      <c r="B8" s="42">
        <f>SUM('Social Media Analytics'!$H$2:$H$1001)</f>
        <v>602984</v>
      </c>
      <c r="C8" s="39"/>
      <c r="D8" s="39" t="s">
        <v>22</v>
      </c>
      <c r="E8" s="42">
        <f>COUNTIF('Social Media Analytics'!$B$2:$B$1001,D8)</f>
        <v>242</v>
      </c>
      <c r="F8" s="42">
        <f>SUMIF('Social Media Analytics'!$B$2:$B$1001,D8,'Social Media Analytics'!$E$2:$E$1001)</f>
        <v>56611226</v>
      </c>
      <c r="G8" s="42">
        <f>SUMIF('Social Media Analytics'!$B$2:$B$1001,D8,'Social Media Analytics'!$F$2:$F$1001)</f>
        <v>27621646</v>
      </c>
      <c r="H8" s="43">
        <f>AVERAGEIF('Social Media Analytics'!$B$2:$B$1001,D8,'Social Media Analytics'!$J$2:$J$1001)</f>
        <v>6.094660846074202E-2</v>
      </c>
      <c r="I8" s="39"/>
      <c r="J8" s="39" t="s">
        <v>14</v>
      </c>
      <c r="K8" s="42">
        <f>COUNTIF('Social Media Analytics'!$D$2:$D$1001,J8)</f>
        <v>138</v>
      </c>
      <c r="L8" s="42">
        <f>SUMIF('Social Media Analytics'!$D$2:$D$1001,J8,'Social Media Analytics'!$E$2:$E$1001)</f>
        <v>1671002</v>
      </c>
      <c r="M8" s="42">
        <f>SUMIF('Social Media Analytics'!$D$2:$D$1001,J8,'Social Media Analytics'!$I$2:$I$1001)</f>
        <v>13094</v>
      </c>
      <c r="N8" s="43">
        <f>AVERAGEIF('Social Media Analytics'!$D$2:$D$1001,J8,'Social Media Analytics'!$J$2:$J$1001)</f>
        <v>2.9984031229460823E-2</v>
      </c>
    </row>
    <row r="9" spans="1:14" x14ac:dyDescent="0.3">
      <c r="A9" s="39" t="s">
        <v>11</v>
      </c>
      <c r="B9" s="42">
        <f>SUM('Social Media Analytics'!$I$2:$I$1001)</f>
        <v>941610</v>
      </c>
      <c r="C9" s="39"/>
      <c r="D9" s="39" t="s">
        <v>19</v>
      </c>
      <c r="E9" s="42">
        <f>COUNTIF('Social Media Analytics'!$B$2:$B$1001,D9)</f>
        <v>158</v>
      </c>
      <c r="F9" s="42">
        <f>SUMIF('Social Media Analytics'!$B$2:$B$1001,D9,'Social Media Analytics'!$E$2:$E$1001)</f>
        <v>2930077</v>
      </c>
      <c r="G9" s="42">
        <f>SUMIF('Social Media Analytics'!$B$2:$B$1001,D9,'Social Media Analytics'!$F$2:$F$1001)</f>
        <v>2148974</v>
      </c>
      <c r="H9" s="43">
        <f>AVERAGEIF('Social Media Analytics'!$B$2:$B$1001,D9,'Social Media Analytics'!$J$2:$J$1001)</f>
        <v>2.3854554427851126E-2</v>
      </c>
      <c r="I9" s="39"/>
      <c r="J9" s="39" t="s">
        <v>20</v>
      </c>
      <c r="K9" s="42">
        <f>COUNTIF('Social Media Analytics'!$D$2:$D$1001,J9)</f>
        <v>293</v>
      </c>
      <c r="L9" s="42">
        <f>SUMIF('Social Media Analytics'!$D$2:$D$1001,J9,'Social Media Analytics'!$E$2:$E$1001)</f>
        <v>34820093</v>
      </c>
      <c r="M9" s="42">
        <f>SUMIF('Social Media Analytics'!$D$2:$D$1001,J9,'Social Media Analytics'!$I$2:$I$1001)</f>
        <v>440197</v>
      </c>
      <c r="N9" s="43">
        <f>AVERAGEIF('Social Media Analytics'!$D$2:$D$1001,J9,'Social Media Analytics'!$J$2:$J$1001)</f>
        <v>4.2804579135345806E-2</v>
      </c>
    </row>
    <row r="10" spans="1:14" x14ac:dyDescent="0.3">
      <c r="A10" s="39" t="s">
        <v>1041</v>
      </c>
      <c r="B10" s="43">
        <f>AVERAGE('Social Media Analytics'!$J$2:$J$1001)</f>
        <v>3.9657400880357935E-2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 x14ac:dyDescent="0.3">
      <c r="A11" s="39" t="s">
        <v>1042</v>
      </c>
      <c r="B11" s="43">
        <f>MAX('Social Media Analytics'!$J$2:$J$1001)</f>
        <v>0.1252562802258313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 x14ac:dyDescent="0.3">
      <c r="A12" s="39" t="s">
        <v>1043</v>
      </c>
      <c r="B12" s="44">
        <f>MIN('Social Media Analytics'!$C$2:$C$1001)</f>
        <v>45292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x14ac:dyDescent="0.3">
      <c r="A13" s="39" t="s">
        <v>1044</v>
      </c>
      <c r="B13" s="44">
        <f>MAX('Social Media Analytics'!$C$2:$C$1001)</f>
        <v>46019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x14ac:dyDescent="0.3">
      <c r="A14" s="39" t="s">
        <v>1045</v>
      </c>
      <c r="B14" s="39" t="str">
        <f>INDEX($D$5:$D$9,MATCH(MAX($F$5:$F$9),$F$5:$F$9,0))</f>
        <v>TikTok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x14ac:dyDescent="0.3">
      <c r="A15" s="39" t="s">
        <v>1046</v>
      </c>
      <c r="B15" s="39" t="str">
        <f>INDEX($J$5:$J$9,MATCH(MAX($L$5:$L$9),$L$5:$L$9,0))</f>
        <v>Video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9" spans="1:14" ht="30" customHeight="1" x14ac:dyDescent="0.3"/>
    <row r="20" spans="1:14" ht="30" customHeight="1" x14ac:dyDescent="0.3"/>
    <row r="21" spans="1:14" ht="30" customHeight="1" x14ac:dyDescent="0.3"/>
    <row r="22" spans="1:14" ht="30" customHeight="1" x14ac:dyDescent="0.3"/>
    <row r="23" spans="1:14" ht="30" customHeight="1" x14ac:dyDescent="0.3"/>
  </sheetData>
  <mergeCells count="3">
    <mergeCell ref="A1:N1"/>
    <mergeCell ref="D3:H3"/>
    <mergeCell ref="J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Pivot Table 1</vt:lpstr>
      <vt:lpstr>Social Media Analytics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Vivaan Thukral</cp:lastModifiedBy>
  <dcterms:created xsi:type="dcterms:W3CDTF">2026-03-11T02:30:31Z</dcterms:created>
  <dcterms:modified xsi:type="dcterms:W3CDTF">2026-09-07T12:43:46Z</dcterms:modified>
</cp:coreProperties>
</file>